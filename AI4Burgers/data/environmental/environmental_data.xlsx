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/Users/vtac/Documents/food/recipegen/data/environmental/"/>
    </mc:Choice>
  </mc:AlternateContent>
  <xr:revisionPtr revIDLastSave="0" documentId="13_ncr:9_{7786EC6C-0A76-9744-A992-7BF1BF271B55}" xr6:coauthVersionLast="47" xr6:coauthVersionMax="47" xr10:uidLastSave="{00000000-0000-0000-0000-000000000000}"/>
  <bookViews>
    <workbookView xWindow="2660" yWindow="1480" windowWidth="32780" windowHeight="22580" activeTab="6" xr2:uid="{61B403A8-9374-8A45-9111-3D74BA24719F}"/>
  </bookViews>
  <sheets>
    <sheet name="Results - Global Totals" sheetId="4" r:id="rId1"/>
    <sheet name="totals" sheetId="10" r:id="rId2"/>
    <sheet name="regrouped" sheetId="11" r:id="rId3"/>
    <sheet name="mushrooms" sheetId="13" r:id="rId4"/>
    <sheet name="augmented w mushrooms" sheetId="14" r:id="rId5"/>
    <sheet name="augmented w condiments" sheetId="15" r:id="rId6"/>
    <sheet name="lca names to ingredient names" sheetId="12" r:id="rId7"/>
  </sheets>
  <calcPr calcId="191029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5" l="1"/>
  <c r="E45" i="15"/>
  <c r="D45" i="15"/>
  <c r="C45" i="15"/>
  <c r="F30" i="15"/>
  <c r="E30" i="15"/>
  <c r="D30" i="15"/>
  <c r="B30" i="15"/>
  <c r="C30" i="15" s="1"/>
  <c r="B16" i="15"/>
  <c r="F16" i="15" s="1"/>
  <c r="F9" i="15"/>
  <c r="B9" i="15"/>
  <c r="D9" i="15" s="1"/>
  <c r="B30" i="14"/>
  <c r="F30" i="14" s="1"/>
  <c r="B16" i="14"/>
  <c r="F16" i="14" s="1"/>
  <c r="B9" i="14"/>
  <c r="C9" i="14" s="1"/>
  <c r="C8" i="13"/>
  <c r="C45" i="14" s="1"/>
  <c r="F8" i="13"/>
  <c r="F45" i="14" s="1"/>
  <c r="E8" i="13"/>
  <c r="E45" i="14" s="1"/>
  <c r="D8" i="13"/>
  <c r="D45" i="14" s="1"/>
  <c r="F3" i="13"/>
  <c r="E2" i="13"/>
  <c r="D2" i="13"/>
  <c r="C2" i="13"/>
  <c r="B16" i="11"/>
  <c r="D16" i="11" s="1"/>
  <c r="B30" i="11"/>
  <c r="D30" i="11" s="1"/>
  <c r="B9" i="11"/>
  <c r="D9" i="11" s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E9" i="15" l="1"/>
  <c r="E16" i="15"/>
  <c r="C16" i="15"/>
  <c r="D16" i="15"/>
  <c r="C9" i="15"/>
  <c r="D16" i="14"/>
  <c r="C30" i="14"/>
  <c r="D9" i="14"/>
  <c r="E9" i="14"/>
  <c r="F9" i="14"/>
  <c r="D30" i="14"/>
  <c r="E30" i="14"/>
  <c r="C16" i="14"/>
  <c r="E16" i="14"/>
  <c r="F16" i="11"/>
  <c r="E16" i="11"/>
  <c r="C16" i="11"/>
  <c r="F30" i="11"/>
  <c r="E30" i="11"/>
  <c r="C30" i="11"/>
  <c r="C9" i="11"/>
  <c r="E9" i="11"/>
  <c r="F9" i="11"/>
</calcChain>
</file>

<file path=xl/sharedStrings.xml><?xml version="1.0" encoding="utf-8"?>
<sst xmlns="http://schemas.openxmlformats.org/spreadsheetml/2006/main" count="603" uniqueCount="247">
  <si>
    <t>Product</t>
  </si>
  <si>
    <t>Maize (Meal)</t>
  </si>
  <si>
    <t>Barley (Beer)</t>
  </si>
  <si>
    <t>Rice</t>
  </si>
  <si>
    <t>Potatoes</t>
  </si>
  <si>
    <t>Peas</t>
  </si>
  <si>
    <t>Nuts</t>
  </si>
  <si>
    <t>Groundnuts</t>
  </si>
  <si>
    <t>Tomatoes</t>
  </si>
  <si>
    <t>Root Vegetables</t>
  </si>
  <si>
    <t>Other Vegetables</t>
  </si>
  <si>
    <t>Citrus Fruit</t>
  </si>
  <si>
    <t>Bananas</t>
  </si>
  <si>
    <t>Apples</t>
  </si>
  <si>
    <t>Other Fruit</t>
  </si>
  <si>
    <t>Coffee</t>
  </si>
  <si>
    <t>Pig Meat</t>
  </si>
  <si>
    <t>Poultry Meat</t>
  </si>
  <si>
    <t>Milk</t>
  </si>
  <si>
    <t>Cheese</t>
  </si>
  <si>
    <t>Eggs</t>
  </si>
  <si>
    <t>Fish (farmed)</t>
  </si>
  <si>
    <t>Crustaceans (farmed)</t>
  </si>
  <si>
    <r>
      <rPr>
        <b/>
        <sz val="11"/>
        <color indexed="8"/>
        <rFont val="Calibri"/>
        <family val="2"/>
      </rPr>
      <t>Land Use</t>
    </r>
    <r>
      <rPr>
        <sz val="11"/>
        <color theme="1"/>
        <rFont val="Calibri"/>
        <family val="2"/>
        <scheme val="minor"/>
      </rPr>
      <t xml:space="preserve"> (m</t>
    </r>
    <r>
      <rPr>
        <vertAlign val="superscript"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scheme val="minor"/>
      </rPr>
      <t>)</t>
    </r>
  </si>
  <si>
    <r>
      <rPr>
        <b/>
        <sz val="11"/>
        <color indexed="8"/>
        <rFont val="Calibri"/>
        <family val="2"/>
      </rPr>
      <t>GHG</t>
    </r>
    <r>
      <rPr>
        <sz val="11"/>
        <color theme="1"/>
        <rFont val="Calibri"/>
        <family val="2"/>
        <scheme val="minor"/>
      </rPr>
      <t xml:space="preserve"> (kg CO</t>
    </r>
    <r>
      <rPr>
        <vertAlign val="subscript"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scheme val="minor"/>
      </rPr>
      <t>eq, IPCC 2013)</t>
    </r>
  </si>
  <si>
    <r>
      <rPr>
        <b/>
        <sz val="11"/>
        <color indexed="8"/>
        <rFont val="Calibri"/>
        <family val="2"/>
      </rPr>
      <t>Acid.</t>
    </r>
    <r>
      <rPr>
        <sz val="11"/>
        <color theme="1"/>
        <rFont val="Calibri"/>
        <family val="2"/>
        <scheme val="minor"/>
      </rPr>
      <t>(kg SO</t>
    </r>
    <r>
      <rPr>
        <vertAlign val="subscript"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scheme val="minor"/>
      </rPr>
      <t>eq)</t>
    </r>
  </si>
  <si>
    <r>
      <rPr>
        <b/>
        <sz val="11"/>
        <color indexed="8"/>
        <rFont val="Calibri"/>
        <family val="2"/>
      </rPr>
      <t>Eutr.</t>
    </r>
    <r>
      <rPr>
        <sz val="11"/>
        <color theme="1"/>
        <rFont val="Calibri"/>
        <family val="2"/>
        <scheme val="minor"/>
      </rPr>
      <t xml:space="preserve"> (kg PO</t>
    </r>
    <r>
      <rPr>
        <vertAlign val="subscript"/>
        <sz val="11"/>
        <color indexed="8"/>
        <rFont val="Calibri"/>
        <family val="2"/>
      </rPr>
      <t>4</t>
    </r>
    <r>
      <rPr>
        <vertAlign val="superscript"/>
        <sz val="11"/>
        <color indexed="8"/>
        <rFont val="Calibri"/>
        <family val="2"/>
      </rPr>
      <t>3-</t>
    </r>
    <r>
      <rPr>
        <sz val="11"/>
        <color theme="1"/>
        <rFont val="Calibri"/>
        <family val="2"/>
        <scheme val="minor"/>
      </rPr>
      <t>eq)</t>
    </r>
  </si>
  <si>
    <t>Oils Misc.</t>
  </si>
  <si>
    <t>Animal Fats</t>
  </si>
  <si>
    <t>Buffalo</t>
  </si>
  <si>
    <t>Butter, Cream &amp; Ghee</t>
  </si>
  <si>
    <r>
      <t xml:space="preserve">Food and Waste </t>
    </r>
    <r>
      <rPr>
        <sz val="11"/>
        <color theme="1"/>
        <rFont val="Calibri"/>
        <family val="2"/>
        <scheme val="minor"/>
      </rPr>
      <t>('000 t, 2009-11 avg.)</t>
    </r>
  </si>
  <si>
    <t>Arable</t>
  </si>
  <si>
    <t>Fallow</t>
  </si>
  <si>
    <t>Perm Past</t>
  </si>
  <si>
    <t>LUC</t>
  </si>
  <si>
    <t>Feed</t>
  </si>
  <si>
    <t>Farm</t>
  </si>
  <si>
    <t>Processing</t>
  </si>
  <si>
    <t>Packging</t>
  </si>
  <si>
    <t>Retail</t>
  </si>
  <si>
    <t>Transport</t>
  </si>
  <si>
    <t>Total</t>
  </si>
  <si>
    <r>
      <rPr>
        <b/>
        <sz val="11"/>
        <color indexed="8"/>
        <rFont val="Calibri"/>
        <family val="2"/>
      </rPr>
      <t>Freshwater</t>
    </r>
    <r>
      <rPr>
        <sz val="11"/>
        <color theme="1"/>
        <rFont val="Calibri"/>
        <family val="2"/>
        <scheme val="minor"/>
      </rPr>
      <t xml:space="preserve"> (L)</t>
    </r>
  </si>
  <si>
    <t>Other Pulses</t>
  </si>
  <si>
    <t>Cane Sugar</t>
  </si>
  <si>
    <t>Beet Sugar</t>
  </si>
  <si>
    <t>Brassicas</t>
  </si>
  <si>
    <t>Lamb &amp; Mutton</t>
  </si>
  <si>
    <t>Bovine Meat (beef herd)</t>
  </si>
  <si>
    <t>Bovine Meat (dairy herd)</t>
  </si>
  <si>
    <t>Impact / kg Food Balance Sheet functional unit (ex. waste)</t>
  </si>
  <si>
    <t>Soymilk</t>
  </si>
  <si>
    <t>Tofu</t>
  </si>
  <si>
    <t>Soybean Oil</t>
  </si>
  <si>
    <t>Palm Oil</t>
  </si>
  <si>
    <t>Sunflower Oil</t>
  </si>
  <si>
    <t>Rapeseed Oil</t>
  </si>
  <si>
    <t>Olive Oil</t>
  </si>
  <si>
    <t>Wheat &amp; Rye (Bread)</t>
  </si>
  <si>
    <t>Oatmeal</t>
  </si>
  <si>
    <t>Cassava</t>
  </si>
  <si>
    <t>Onions &amp; Leeks</t>
  </si>
  <si>
    <t>Berries &amp; Grapes</t>
  </si>
  <si>
    <t>Wine</t>
  </si>
  <si>
    <t>Dark Chocolate</t>
  </si>
  <si>
    <r>
      <rPr>
        <b/>
        <sz val="11"/>
        <color indexed="8"/>
        <rFont val="Calibri"/>
        <family val="2"/>
      </rPr>
      <t>Str-Wt WU</t>
    </r>
    <r>
      <rPr>
        <sz val="11"/>
        <color theme="1"/>
        <rFont val="Calibri"/>
        <family val="2"/>
        <scheme val="minor"/>
      </rPr>
      <t xml:space="preserve"> (L eq)</t>
    </r>
  </si>
  <si>
    <t>Cereals &amp; Oilcrops Misc.</t>
  </si>
  <si>
    <t>Sweeteners &amp; Honey</t>
  </si>
  <si>
    <t>Stimulants &amp; Spices Misc.</t>
  </si>
  <si>
    <t>Food and Waste ('000 t, 2009-11 avg.)</t>
  </si>
  <si>
    <t>Land Use (m2)</t>
  </si>
  <si>
    <t>GHG (kg CO2eq, IPCC 2013)</t>
  </si>
  <si>
    <t>Eutr. (kg PO43-eq)</t>
  </si>
  <si>
    <t>Str-Wt WU (L eq)</t>
  </si>
  <si>
    <t>Sugar</t>
  </si>
  <si>
    <t>Oil</t>
  </si>
  <si>
    <t>Beef</t>
  </si>
  <si>
    <t>breadcrumb</t>
  </si>
  <si>
    <t>beer</t>
  </si>
  <si>
    <t>brown sugar</t>
  </si>
  <si>
    <t>bean</t>
  </si>
  <si>
    <t>almond</t>
  </si>
  <si>
    <t>beet</t>
  </si>
  <si>
    <t>arugula</t>
  </si>
  <si>
    <t>basil</t>
  </si>
  <si>
    <t>apple</t>
  </si>
  <si>
    <t>avocado</t>
  </si>
  <si>
    <t>beef</t>
  </si>
  <si>
    <t>bacon</t>
  </si>
  <si>
    <t>blue cheese</t>
  </si>
  <si>
    <t>buffalo</t>
  </si>
  <si>
    <t>bulgur</t>
  </si>
  <si>
    <t>bun</t>
  </si>
  <si>
    <t>butter</t>
  </si>
  <si>
    <t>cabbage</t>
  </si>
  <si>
    <t>cajun seasoning</t>
  </si>
  <si>
    <t>carrot</t>
  </si>
  <si>
    <t>cayenne pepper</t>
  </si>
  <si>
    <t>celery</t>
  </si>
  <si>
    <t>cheddar cheese</t>
  </si>
  <si>
    <t>chicken</t>
  </si>
  <si>
    <t>chicken seasoning</t>
  </si>
  <si>
    <t>chickpea</t>
  </si>
  <si>
    <t>chili</t>
  </si>
  <si>
    <t>chili flake</t>
  </si>
  <si>
    <t>chip</t>
  </si>
  <si>
    <t>chipotle chili</t>
  </si>
  <si>
    <t>chive</t>
  </si>
  <si>
    <t>cilantro</t>
  </si>
  <si>
    <t>cinnamon</t>
  </si>
  <si>
    <t>coriander seed</t>
  </si>
  <si>
    <t>corn</t>
  </si>
  <si>
    <t>cornflour</t>
  </si>
  <si>
    <t>cottage cheese</t>
  </si>
  <si>
    <t>cracker</t>
  </si>
  <si>
    <t>cranberry</t>
  </si>
  <si>
    <t>cream</t>
  </si>
  <si>
    <t>cream cheese</t>
  </si>
  <si>
    <t>cucumber</t>
  </si>
  <si>
    <t>cumin</t>
  </si>
  <si>
    <t>curry</t>
  </si>
  <si>
    <t>curry powder</t>
  </si>
  <si>
    <t>dill</t>
  </si>
  <si>
    <t>dough</t>
  </si>
  <si>
    <t>dressing</t>
  </si>
  <si>
    <t>egg</t>
  </si>
  <si>
    <t>feta</t>
  </si>
  <si>
    <t>fish</t>
  </si>
  <si>
    <t>flour</t>
  </si>
  <si>
    <t>garlic</t>
  </si>
  <si>
    <t>ginger</t>
  </si>
  <si>
    <t>goat cheese</t>
  </si>
  <si>
    <t>gouda</t>
  </si>
  <si>
    <t>green onion</t>
  </si>
  <si>
    <t>greens</t>
  </si>
  <si>
    <t>guacamole</t>
  </si>
  <si>
    <t>hoisin sauce</t>
  </si>
  <si>
    <t>honey</t>
  </si>
  <si>
    <t>horseradish</t>
  </si>
  <si>
    <t>hot sauce</t>
  </si>
  <si>
    <t>italian seasoning</t>
  </si>
  <si>
    <t>jalapeno</t>
  </si>
  <si>
    <t>ketchup</t>
  </si>
  <si>
    <t>lamb</t>
  </si>
  <si>
    <t>lemon</t>
  </si>
  <si>
    <t>lentil</t>
  </si>
  <si>
    <t>lettuce</t>
  </si>
  <si>
    <t>lime</t>
  </si>
  <si>
    <t>liquid smoke</t>
  </si>
  <si>
    <t>mango</t>
  </si>
  <si>
    <t>marjoram</t>
  </si>
  <si>
    <t>mayonnaise</t>
  </si>
  <si>
    <t>milk</t>
  </si>
  <si>
    <t>mint</t>
  </si>
  <si>
    <t>monterey jack</t>
  </si>
  <si>
    <t>mozzarella</t>
  </si>
  <si>
    <t>mushroom</t>
  </si>
  <si>
    <t>mustard</t>
  </si>
  <si>
    <t>noodle</t>
  </si>
  <si>
    <t>nutmeg</t>
  </si>
  <si>
    <t>oat</t>
  </si>
  <si>
    <t>oil</t>
  </si>
  <si>
    <t>olive</t>
  </si>
  <si>
    <t>onion</t>
  </si>
  <si>
    <t>orange</t>
  </si>
  <si>
    <t>oregano</t>
  </si>
  <si>
    <t>other cheese</t>
  </si>
  <si>
    <t>other seasoning</t>
  </si>
  <si>
    <t>paprika</t>
  </si>
  <si>
    <t>parmesan</t>
  </si>
  <si>
    <t>parsley</t>
  </si>
  <si>
    <t>pasta</t>
  </si>
  <si>
    <t>peanut</t>
  </si>
  <si>
    <t>pepper</t>
  </si>
  <si>
    <t>pesto</t>
  </si>
  <si>
    <t>pickle</t>
  </si>
  <si>
    <t>pimento</t>
  </si>
  <si>
    <t>pineapple</t>
  </si>
  <si>
    <t>pork</t>
  </si>
  <si>
    <t>portobello</t>
  </si>
  <si>
    <t>potato</t>
  </si>
  <si>
    <t>provolone</t>
  </si>
  <si>
    <t>quinoa</t>
  </si>
  <si>
    <t>ranch sauce</t>
  </si>
  <si>
    <t>relish</t>
  </si>
  <si>
    <t>rice</t>
  </si>
  <si>
    <t>rosemary</t>
  </si>
  <si>
    <t>sage</t>
  </si>
  <si>
    <t>salsa</t>
  </si>
  <si>
    <t>salt</t>
  </si>
  <si>
    <t>sauce</t>
  </si>
  <si>
    <t>sausage</t>
  </si>
  <si>
    <t>sesame seed</t>
  </si>
  <si>
    <t>shallot</t>
  </si>
  <si>
    <t>sour cream</t>
  </si>
  <si>
    <t>soy sauce</t>
  </si>
  <si>
    <t>spinach</t>
  </si>
  <si>
    <t>steak sauce</t>
  </si>
  <si>
    <t>steak seasoning</t>
  </si>
  <si>
    <t>sugar</t>
  </si>
  <si>
    <t>sunflower seed</t>
  </si>
  <si>
    <t>taco seasoning</t>
  </si>
  <si>
    <t>tahini</t>
  </si>
  <si>
    <t>tarragon</t>
  </si>
  <si>
    <t>teriyaki sauce</t>
  </si>
  <si>
    <t>thyme</t>
  </si>
  <si>
    <t>tofu</t>
  </si>
  <si>
    <t>tomato</t>
  </si>
  <si>
    <t>tortilla</t>
  </si>
  <si>
    <t>turkey</t>
  </si>
  <si>
    <t>vinegar</t>
  </si>
  <si>
    <t>walnut</t>
  </si>
  <si>
    <t>wasabi</t>
  </si>
  <si>
    <t>wheat germ</t>
  </si>
  <si>
    <t>wine</t>
  </si>
  <si>
    <t>worcestershire sauce</t>
  </si>
  <si>
    <t>yeast</t>
  </si>
  <si>
    <t>yogurt</t>
  </si>
  <si>
    <t>zucchini</t>
  </si>
  <si>
    <t>Environmental Database Food Categories</t>
  </si>
  <si>
    <t>Recipe Database Food Categories</t>
  </si>
  <si>
    <t>Environmental Data Source</t>
  </si>
  <si>
    <t>allspice</t>
  </si>
  <si>
    <t>barbecue sauce</t>
  </si>
  <si>
    <t>bouillon</t>
  </si>
  <si>
    <t>broth</t>
  </si>
  <si>
    <t>Source</t>
  </si>
  <si>
    <t>Goglio et al 2024</t>
  </si>
  <si>
    <t>Type</t>
  </si>
  <si>
    <t>Notes 1</t>
  </si>
  <si>
    <t>Notes 2</t>
  </si>
  <si>
    <t>Agaricus bisporus mushroom</t>
  </si>
  <si>
    <t>I averaged values for three European countries.</t>
  </si>
  <si>
    <t>Freshwater eutrophication (g of P eq / kg)</t>
  </si>
  <si>
    <t>Scarcity-weighted water use ( L eq / kg)</t>
  </si>
  <si>
    <t>Scarcity-weighted water use ( m3 eq / kg)</t>
  </si>
  <si>
    <t>GHG (kg CO2 eq / kg)</t>
  </si>
  <si>
    <t>USDA</t>
  </si>
  <si>
    <t>Inverted 6.55 pounds per square foot</t>
  </si>
  <si>
    <t>Land use (sq ft / lb)</t>
  </si>
  <si>
    <t>Converted units:</t>
  </si>
  <si>
    <t>Freshwater eutrophication (kg of P eq / kg)</t>
  </si>
  <si>
    <t>Land use (m2 / kg)</t>
  </si>
  <si>
    <t>Mushrooms</t>
  </si>
  <si>
    <t>Condiments</t>
  </si>
  <si>
    <t>sauces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</si>
</sst>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"/>
    <numFmt numFmtId="173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vertAlign val="subscript"/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3" fontId="0" fillId="0" borderId="0" xfId="0" applyNumberFormat="1" applyAlignment="1">
      <alignment vertical="center"/>
    </xf>
    <xf numFmtId="172" fontId="0" fillId="0" borderId="4" xfId="0" applyNumberFormat="1" applyBorder="1" applyAlignment="1">
      <alignment vertical="center"/>
    </xf>
    <xf numFmtId="172" fontId="0" fillId="0" borderId="0" xfId="0" applyNumberFormat="1" applyBorder="1" applyAlignment="1">
      <alignment vertical="center"/>
    </xf>
    <xf numFmtId="172" fontId="0" fillId="0" borderId="2" xfId="0" applyNumberFormat="1" applyBorder="1" applyAlignment="1">
      <alignment vertical="center"/>
    </xf>
    <xf numFmtId="172" fontId="0" fillId="0" borderId="0" xfId="0" applyNumberFormat="1" applyAlignment="1">
      <alignment vertical="center"/>
    </xf>
    <xf numFmtId="173" fontId="0" fillId="0" borderId="5" xfId="0" applyNumberFormat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/>
    <xf numFmtId="2" fontId="0" fillId="0" borderId="0" xfId="0" applyNumberFormat="1"/>
    <xf numFmtId="0" fontId="0" fillId="2" borderId="0" xfId="0" applyFill="1"/>
    <xf numFmtId="0" fontId="0" fillId="0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4D7F-9A32-A04A-A93D-B6C4916FCB32}">
  <sheetPr>
    <pageSetUpPr autoPageBreaks="0"/>
  </sheetPr>
  <dimension ref="A1:R5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7" sqref="D7"/>
    </sheetView>
  </sheetViews>
  <sheetFormatPr baseColWidth="10" defaultColWidth="8.83203125" defaultRowHeight="15" x14ac:dyDescent="0.2"/>
  <cols>
    <col min="1" max="1" width="27.5" customWidth="1"/>
    <col min="2" max="2" width="18.83203125" customWidth="1"/>
    <col min="3" max="14" width="9.83203125" customWidth="1"/>
    <col min="15" max="15" width="16.33203125" customWidth="1"/>
    <col min="16" max="16" width="16.33203125" bestFit="1" customWidth="1"/>
    <col min="17" max="18" width="16.33203125" customWidth="1"/>
  </cols>
  <sheetData>
    <row r="1" spans="1:18" x14ac:dyDescent="0.2">
      <c r="C1" s="22" t="s">
        <v>51</v>
      </c>
    </row>
    <row r="2" spans="1:18" ht="18" customHeight="1" x14ac:dyDescent="0.2">
      <c r="A2" s="2"/>
      <c r="B2" s="20" t="s">
        <v>31</v>
      </c>
      <c r="C2" s="18" t="s">
        <v>23</v>
      </c>
      <c r="D2" s="17"/>
      <c r="E2" s="19"/>
      <c r="F2" s="17"/>
      <c r="G2" s="17" t="s">
        <v>24</v>
      </c>
      <c r="H2" s="17"/>
      <c r="I2" s="17"/>
      <c r="J2" s="17"/>
      <c r="K2" s="17"/>
      <c r="L2" s="17"/>
      <c r="M2" s="17"/>
      <c r="N2" s="17"/>
      <c r="O2" s="3" t="s">
        <v>25</v>
      </c>
      <c r="P2" s="3" t="s">
        <v>26</v>
      </c>
      <c r="Q2" s="3" t="s">
        <v>43</v>
      </c>
      <c r="R2" s="3" t="s">
        <v>66</v>
      </c>
    </row>
    <row r="3" spans="1:18" x14ac:dyDescent="0.2">
      <c r="A3" s="1" t="s">
        <v>0</v>
      </c>
      <c r="B3" s="21"/>
      <c r="C3" s="12" t="s">
        <v>32</v>
      </c>
      <c r="D3" s="11" t="s">
        <v>33</v>
      </c>
      <c r="E3" s="13" t="s">
        <v>34</v>
      </c>
      <c r="F3" s="15" t="s">
        <v>42</v>
      </c>
      <c r="G3" s="11" t="s">
        <v>35</v>
      </c>
      <c r="H3" s="11" t="s">
        <v>36</v>
      </c>
      <c r="I3" s="11" t="s">
        <v>37</v>
      </c>
      <c r="J3" s="11" t="s">
        <v>38</v>
      </c>
      <c r="K3" s="11" t="s">
        <v>41</v>
      </c>
      <c r="L3" s="11" t="s">
        <v>39</v>
      </c>
      <c r="M3" s="11" t="s">
        <v>40</v>
      </c>
      <c r="N3" s="15" t="s">
        <v>42</v>
      </c>
      <c r="O3" s="14" t="s">
        <v>42</v>
      </c>
      <c r="P3" s="14" t="s">
        <v>42</v>
      </c>
      <c r="Q3" s="14" t="s">
        <v>42</v>
      </c>
      <c r="R3" s="14" t="s">
        <v>42</v>
      </c>
    </row>
    <row r="4" spans="1:18" x14ac:dyDescent="0.2">
      <c r="A4" t="s">
        <v>59</v>
      </c>
      <c r="B4" s="4">
        <v>482152</v>
      </c>
      <c r="C4" s="5">
        <v>2.5499999999999998</v>
      </c>
      <c r="D4" s="6">
        <v>0.93200000000000005</v>
      </c>
      <c r="E4" s="7">
        <v>0</v>
      </c>
      <c r="F4" s="6">
        <f>SUM(C4:E4)</f>
        <v>3.4819999999999998</v>
      </c>
      <c r="G4" s="8">
        <v>0.1</v>
      </c>
      <c r="H4" s="8">
        <v>0</v>
      </c>
      <c r="I4" s="8">
        <v>0.84699999999999998</v>
      </c>
      <c r="J4" s="8">
        <v>0.217</v>
      </c>
      <c r="K4" s="8">
        <v>0.129</v>
      </c>
      <c r="L4" s="8">
        <v>0.09</v>
      </c>
      <c r="M4" s="8">
        <v>5.8000000000000003E-2</v>
      </c>
      <c r="N4" s="8">
        <f>SUM(G4:M4)</f>
        <v>1.4410000000000001</v>
      </c>
      <c r="O4" s="9">
        <v>1.209E-2</v>
      </c>
      <c r="P4" s="9">
        <v>7.0600000000000003E-3</v>
      </c>
      <c r="Q4" s="16">
        <v>567</v>
      </c>
      <c r="R4" s="16">
        <v>28918</v>
      </c>
    </row>
    <row r="5" spans="1:18" x14ac:dyDescent="0.2">
      <c r="A5" t="s">
        <v>1</v>
      </c>
      <c r="B5" s="4">
        <v>194554</v>
      </c>
      <c r="C5" s="5">
        <v>1.171</v>
      </c>
      <c r="D5" s="6">
        <v>0.45700000000000002</v>
      </c>
      <c r="E5" s="7">
        <v>0</v>
      </c>
      <c r="F5" s="6">
        <f>SUM(C5:E5)</f>
        <v>1.6280000000000001</v>
      </c>
      <c r="G5" s="8">
        <v>0.315</v>
      </c>
      <c r="H5" s="8">
        <v>0</v>
      </c>
      <c r="I5" s="8">
        <v>0.47499999999999998</v>
      </c>
      <c r="J5" s="8">
        <v>5.1999999999999998E-2</v>
      </c>
      <c r="K5" s="8">
        <v>0.06</v>
      </c>
      <c r="L5" s="8">
        <v>0.06</v>
      </c>
      <c r="M5" s="8">
        <v>2.5999999999999999E-2</v>
      </c>
      <c r="N5" s="8">
        <f t="shared" ref="N5:N53" si="0">SUM(G5:M5)</f>
        <v>0.98800000000000021</v>
      </c>
      <c r="O5" s="9">
        <v>6.7299999999999999E-3</v>
      </c>
      <c r="P5" s="9">
        <v>2.2599999999999999E-3</v>
      </c>
      <c r="Q5" s="16">
        <v>120</v>
      </c>
      <c r="R5" s="16">
        <v>6007</v>
      </c>
    </row>
    <row r="6" spans="1:18" x14ac:dyDescent="0.2">
      <c r="A6" t="s">
        <v>2</v>
      </c>
      <c r="B6" s="4">
        <v>206523</v>
      </c>
      <c r="C6" s="5">
        <v>0.67400000000000004</v>
      </c>
      <c r="D6" s="6">
        <v>0.26600000000000001</v>
      </c>
      <c r="E6" s="7">
        <v>0</v>
      </c>
      <c r="F6" s="6">
        <f>SUM(C6:E6)</f>
        <v>0.94000000000000006</v>
      </c>
      <c r="G6" s="8">
        <v>8.9999999999999993E-3</v>
      </c>
      <c r="H6" s="8">
        <v>0</v>
      </c>
      <c r="I6" s="8">
        <v>0.17599999999999999</v>
      </c>
      <c r="J6" s="8">
        <v>0.128</v>
      </c>
      <c r="K6" s="8">
        <v>3.5000000000000003E-2</v>
      </c>
      <c r="L6" s="8">
        <v>0.497</v>
      </c>
      <c r="M6" s="8">
        <v>0.26400000000000001</v>
      </c>
      <c r="N6" s="8">
        <f t="shared" si="0"/>
        <v>1.109</v>
      </c>
      <c r="O6" s="9">
        <v>6.1199999999999996E-3</v>
      </c>
      <c r="P6" s="9">
        <v>2.1099999999999999E-3</v>
      </c>
      <c r="Q6" s="16">
        <v>15</v>
      </c>
      <c r="R6" s="16">
        <v>604</v>
      </c>
    </row>
    <row r="7" spans="1:18" x14ac:dyDescent="0.2">
      <c r="A7" t="s">
        <v>60</v>
      </c>
      <c r="B7" s="4">
        <v>4463</v>
      </c>
      <c r="C7" s="5">
        <v>3.4140000000000001</v>
      </c>
      <c r="D7" s="6">
        <v>1.3520000000000001</v>
      </c>
      <c r="E7" s="7">
        <v>0</v>
      </c>
      <c r="F7" s="6">
        <f>SUM(C7:E7)</f>
        <v>4.766</v>
      </c>
      <c r="G7" s="8">
        <v>1E-3</v>
      </c>
      <c r="H7" s="8">
        <v>0</v>
      </c>
      <c r="I7" s="8">
        <v>1.37</v>
      </c>
      <c r="J7" s="8">
        <v>4.2000000000000003E-2</v>
      </c>
      <c r="K7" s="8">
        <v>6.7000000000000004E-2</v>
      </c>
      <c r="L7" s="8">
        <v>6.6000000000000003E-2</v>
      </c>
      <c r="M7" s="8">
        <v>2.9000000000000001E-2</v>
      </c>
      <c r="N7" s="8">
        <f t="shared" si="0"/>
        <v>1.575</v>
      </c>
      <c r="O7" s="9">
        <v>6.9699999999999996E-3</v>
      </c>
      <c r="P7" s="9">
        <v>7.0499999999999998E-3</v>
      </c>
      <c r="Q7" s="16">
        <v>302</v>
      </c>
      <c r="R7" s="16">
        <v>11774</v>
      </c>
    </row>
    <row r="8" spans="1:18" x14ac:dyDescent="0.2">
      <c r="A8" t="s">
        <v>3</v>
      </c>
      <c r="B8" s="4">
        <v>397780</v>
      </c>
      <c r="C8" s="5">
        <v>2.093</v>
      </c>
      <c r="D8" s="6">
        <v>0.308</v>
      </c>
      <c r="E8" s="7">
        <v>0</v>
      </c>
      <c r="F8" s="6">
        <f>SUM(C8:E8)</f>
        <v>2.4009999999999998</v>
      </c>
      <c r="G8" s="8">
        <v>-2.1999999999999999E-2</v>
      </c>
      <c r="H8" s="8">
        <v>0</v>
      </c>
      <c r="I8" s="8">
        <v>3.5529999999999999</v>
      </c>
      <c r="J8" s="8">
        <v>6.5000000000000002E-2</v>
      </c>
      <c r="K8" s="8">
        <v>9.6000000000000002E-2</v>
      </c>
      <c r="L8" s="8">
        <v>8.4000000000000005E-2</v>
      </c>
      <c r="M8" s="8">
        <v>6.3E-2</v>
      </c>
      <c r="N8" s="8">
        <f t="shared" si="0"/>
        <v>3.8390000000000004</v>
      </c>
      <c r="O8" s="9">
        <v>2.3570000000000001E-2</v>
      </c>
      <c r="P8" s="9">
        <v>2.972E-2</v>
      </c>
      <c r="Q8" s="16">
        <v>1962</v>
      </c>
      <c r="R8" s="16">
        <v>43275</v>
      </c>
    </row>
    <row r="9" spans="1:18" x14ac:dyDescent="0.2">
      <c r="A9" t="s">
        <v>4</v>
      </c>
      <c r="B9" s="4">
        <v>332343</v>
      </c>
      <c r="C9" s="5">
        <v>0.498</v>
      </c>
      <c r="D9" s="6">
        <v>0.14499999999999999</v>
      </c>
      <c r="E9" s="7">
        <v>0</v>
      </c>
      <c r="F9" s="6">
        <f>SUM(C9:E9)</f>
        <v>0.64300000000000002</v>
      </c>
      <c r="G9" s="8">
        <v>-1E-3</v>
      </c>
      <c r="H9" s="8">
        <v>0</v>
      </c>
      <c r="I9" s="8">
        <v>0.193</v>
      </c>
      <c r="J9" s="8">
        <v>0</v>
      </c>
      <c r="K9" s="8">
        <v>9.4E-2</v>
      </c>
      <c r="L9" s="8">
        <v>4.4999999999999998E-2</v>
      </c>
      <c r="M9" s="8">
        <v>3.9E-2</v>
      </c>
      <c r="N9" s="8">
        <f t="shared" si="0"/>
        <v>0.37</v>
      </c>
      <c r="O9" s="9">
        <v>3.2299999999999998E-3</v>
      </c>
      <c r="P9" s="9">
        <v>2.5500000000000002E-3</v>
      </c>
      <c r="Q9" s="16">
        <v>43</v>
      </c>
      <c r="R9" s="16">
        <v>2027</v>
      </c>
    </row>
    <row r="10" spans="1:18" x14ac:dyDescent="0.2">
      <c r="A10" t="s">
        <v>61</v>
      </c>
      <c r="B10" s="4">
        <v>173814</v>
      </c>
      <c r="C10" s="5">
        <v>0.93400000000000005</v>
      </c>
      <c r="D10" s="6">
        <v>0.32</v>
      </c>
      <c r="E10" s="7">
        <v>0</v>
      </c>
      <c r="F10" s="6">
        <f>SUM(C10:E10)</f>
        <v>1.254</v>
      </c>
      <c r="G10" s="8">
        <v>0.58899999999999997</v>
      </c>
      <c r="H10" s="8">
        <v>0</v>
      </c>
      <c r="I10" s="8">
        <v>0.22</v>
      </c>
      <c r="J10" s="8">
        <v>0</v>
      </c>
      <c r="K10" s="8">
        <v>9.4E-2</v>
      </c>
      <c r="L10" s="8">
        <v>4.4999999999999998E-2</v>
      </c>
      <c r="M10" s="8">
        <v>3.9E-2</v>
      </c>
      <c r="N10" s="8">
        <f t="shared" si="0"/>
        <v>0.98699999999999999</v>
      </c>
      <c r="O10" s="9">
        <v>2.98E-3</v>
      </c>
      <c r="P10" s="9">
        <v>5.5999999999999995E-4</v>
      </c>
      <c r="Q10" s="16">
        <v>0</v>
      </c>
      <c r="R10" s="16">
        <v>0</v>
      </c>
    </row>
    <row r="11" spans="1:18" x14ac:dyDescent="0.2">
      <c r="A11" t="s">
        <v>45</v>
      </c>
      <c r="B11" s="4">
        <v>141702</v>
      </c>
      <c r="C11" s="5">
        <v>1.2130000000000001</v>
      </c>
      <c r="D11" s="6">
        <v>0.38100000000000001</v>
      </c>
      <c r="E11" s="7">
        <v>0</v>
      </c>
      <c r="F11" s="6">
        <f>SUM(C11:E11)</f>
        <v>1.5940000000000001</v>
      </c>
      <c r="G11" s="8">
        <v>1.2470000000000001</v>
      </c>
      <c r="H11" s="8">
        <v>0</v>
      </c>
      <c r="I11" s="8">
        <v>0.48499999999999999</v>
      </c>
      <c r="J11" s="8">
        <v>3.6999999999999998E-2</v>
      </c>
      <c r="K11" s="8">
        <v>0.78400000000000003</v>
      </c>
      <c r="L11" s="8">
        <v>8.3000000000000004E-2</v>
      </c>
      <c r="M11" s="8">
        <v>3.5999999999999997E-2</v>
      </c>
      <c r="N11" s="8">
        <f t="shared" si="0"/>
        <v>2.6720000000000002</v>
      </c>
      <c r="O11" s="9">
        <v>1.537E-2</v>
      </c>
      <c r="P11" s="9">
        <v>1.3599999999999999E-2</v>
      </c>
      <c r="Q11" s="16">
        <v>492</v>
      </c>
      <c r="R11" s="16">
        <v>13096</v>
      </c>
    </row>
    <row r="12" spans="1:18" x14ac:dyDescent="0.2">
      <c r="A12" t="s">
        <v>46</v>
      </c>
      <c r="B12" s="4">
        <v>34038</v>
      </c>
      <c r="C12" s="5">
        <v>1.159</v>
      </c>
      <c r="D12" s="6">
        <v>0.27400000000000002</v>
      </c>
      <c r="E12" s="7">
        <v>0</v>
      </c>
      <c r="F12" s="6">
        <f>SUM(C12:E12)</f>
        <v>1.4330000000000001</v>
      </c>
      <c r="G12" s="8">
        <v>0</v>
      </c>
      <c r="H12" s="8">
        <v>0</v>
      </c>
      <c r="I12" s="8">
        <v>0.53600000000000003</v>
      </c>
      <c r="J12" s="8">
        <v>0.24199999999999999</v>
      </c>
      <c r="K12" s="8">
        <v>0.629</v>
      </c>
      <c r="L12" s="8">
        <v>0.09</v>
      </c>
      <c r="M12" s="8">
        <v>3.9E-2</v>
      </c>
      <c r="N12" s="8">
        <f t="shared" si="0"/>
        <v>1.536</v>
      </c>
      <c r="O12" s="9">
        <v>1.076E-2</v>
      </c>
      <c r="P12" s="9">
        <v>4.3699999999999998E-3</v>
      </c>
      <c r="Q12" s="16">
        <v>170</v>
      </c>
      <c r="R12" s="16">
        <v>7413</v>
      </c>
    </row>
    <row r="13" spans="1:18" x14ac:dyDescent="0.2">
      <c r="A13" t="s">
        <v>44</v>
      </c>
      <c r="B13" s="4">
        <v>42765</v>
      </c>
      <c r="C13" s="5">
        <v>9.8510000000000009</v>
      </c>
      <c r="D13" s="6">
        <v>3.7690000000000001</v>
      </c>
      <c r="E13" s="7">
        <v>0</v>
      </c>
      <c r="F13" s="6">
        <f>SUM(C13:E13)</f>
        <v>13.620000000000001</v>
      </c>
      <c r="G13" s="8">
        <v>3.3000000000000002E-2</v>
      </c>
      <c r="H13" s="8">
        <v>0</v>
      </c>
      <c r="I13" s="8">
        <v>1.089</v>
      </c>
      <c r="J13" s="8">
        <v>0</v>
      </c>
      <c r="K13" s="8">
        <v>9.6000000000000002E-2</v>
      </c>
      <c r="L13" s="8">
        <v>0.35299999999999998</v>
      </c>
      <c r="M13" s="8">
        <v>3.9E-2</v>
      </c>
      <c r="N13" s="8">
        <f t="shared" si="0"/>
        <v>1.6099999999999999</v>
      </c>
      <c r="O13" s="9">
        <v>1.9130000000000001E-2</v>
      </c>
      <c r="P13" s="9">
        <v>1.5010000000000001E-2</v>
      </c>
      <c r="Q13" s="16">
        <v>364</v>
      </c>
      <c r="R13" s="16">
        <v>18670</v>
      </c>
    </row>
    <row r="14" spans="1:18" x14ac:dyDescent="0.2">
      <c r="A14" t="s">
        <v>5</v>
      </c>
      <c r="B14" s="4">
        <v>6026</v>
      </c>
      <c r="C14" s="5">
        <v>5.3540000000000001</v>
      </c>
      <c r="D14" s="6">
        <v>1.3839999999999999</v>
      </c>
      <c r="E14" s="7">
        <v>0</v>
      </c>
      <c r="F14" s="6">
        <f>SUM(C14:E14)</f>
        <v>6.7379999999999995</v>
      </c>
      <c r="G14" s="8">
        <v>0</v>
      </c>
      <c r="H14" s="8">
        <v>0</v>
      </c>
      <c r="I14" s="8">
        <v>0.71699999999999997</v>
      </c>
      <c r="J14" s="8">
        <v>0</v>
      </c>
      <c r="K14" s="8">
        <v>9.5000000000000001E-2</v>
      </c>
      <c r="L14" s="8">
        <v>4.4999999999999998E-2</v>
      </c>
      <c r="M14" s="8">
        <v>3.9E-2</v>
      </c>
      <c r="N14" s="8">
        <f t="shared" si="0"/>
        <v>0.89600000000000002</v>
      </c>
      <c r="O14" s="9">
        <v>7.5900000000000004E-3</v>
      </c>
      <c r="P14" s="9">
        <v>6.8300000000000001E-3</v>
      </c>
      <c r="Q14" s="16">
        <v>353</v>
      </c>
      <c r="R14" s="16">
        <v>24856</v>
      </c>
    </row>
    <row r="15" spans="1:18" x14ac:dyDescent="0.2">
      <c r="A15" t="s">
        <v>6</v>
      </c>
      <c r="B15" s="4">
        <v>15296</v>
      </c>
      <c r="C15" s="5">
        <v>4.681</v>
      </c>
      <c r="D15" s="6">
        <v>0.39900000000000002</v>
      </c>
      <c r="E15" s="7">
        <v>0</v>
      </c>
      <c r="F15" s="6">
        <f>SUM(C15:E15)</f>
        <v>5.08</v>
      </c>
      <c r="G15" s="8">
        <v>-2.052</v>
      </c>
      <c r="H15" s="8">
        <v>0</v>
      </c>
      <c r="I15" s="8">
        <v>2.1259999999999999</v>
      </c>
      <c r="J15" s="8">
        <v>3.2000000000000001E-2</v>
      </c>
      <c r="K15" s="8">
        <v>6.7000000000000004E-2</v>
      </c>
      <c r="L15" s="8">
        <v>7.8E-2</v>
      </c>
      <c r="M15" s="8">
        <v>2.7E-2</v>
      </c>
      <c r="N15" s="8">
        <f t="shared" si="0"/>
        <v>0.27799999999999986</v>
      </c>
      <c r="O15" s="9">
        <v>1.9040000000000001E-2</v>
      </c>
      <c r="P15" s="9">
        <v>8.8000000000000005E-3</v>
      </c>
      <c r="Q15" s="16">
        <v>1914</v>
      </c>
      <c r="R15" s="16">
        <v>106382</v>
      </c>
    </row>
    <row r="16" spans="1:18" x14ac:dyDescent="0.2">
      <c r="A16" t="s">
        <v>7</v>
      </c>
      <c r="B16" s="4">
        <v>11827</v>
      </c>
      <c r="C16" s="5">
        <v>5.8019999999999996</v>
      </c>
      <c r="D16" s="6">
        <v>1.169</v>
      </c>
      <c r="E16" s="7">
        <v>0</v>
      </c>
      <c r="F16" s="6">
        <f>SUM(C16:E16)</f>
        <v>6.9710000000000001</v>
      </c>
      <c r="G16" s="8">
        <v>0.439</v>
      </c>
      <c r="H16" s="8">
        <v>0</v>
      </c>
      <c r="I16" s="8">
        <v>1.425</v>
      </c>
      <c r="J16" s="8">
        <v>0.372</v>
      </c>
      <c r="K16" s="8">
        <v>0.12</v>
      </c>
      <c r="L16" s="8">
        <v>9.9000000000000005E-2</v>
      </c>
      <c r="M16" s="8">
        <v>4.2000000000000003E-2</v>
      </c>
      <c r="N16" s="8">
        <f t="shared" si="0"/>
        <v>2.4970000000000003</v>
      </c>
      <c r="O16" s="9">
        <v>1.7919999999999998E-2</v>
      </c>
      <c r="P16" s="9">
        <v>1.1169999999999999E-2</v>
      </c>
      <c r="Q16" s="16">
        <v>1431</v>
      </c>
      <c r="R16" s="16">
        <v>48147</v>
      </c>
    </row>
    <row r="17" spans="1:18" x14ac:dyDescent="0.2">
      <c r="A17" t="s">
        <v>52</v>
      </c>
      <c r="B17" s="4">
        <v>33318</v>
      </c>
      <c r="C17" s="5">
        <v>0.46400000000000002</v>
      </c>
      <c r="D17" s="6">
        <v>0.128</v>
      </c>
      <c r="E17" s="7">
        <v>0</v>
      </c>
      <c r="F17" s="6">
        <f>SUM(C17:E17)</f>
        <v>0.59200000000000008</v>
      </c>
      <c r="G17" s="8">
        <v>0.18</v>
      </c>
      <c r="H17" s="8">
        <v>0</v>
      </c>
      <c r="I17" s="8">
        <v>9.2999999999999999E-2</v>
      </c>
      <c r="J17" s="8">
        <v>0.16300000000000001</v>
      </c>
      <c r="K17" s="8">
        <v>0.11</v>
      </c>
      <c r="L17" s="8">
        <v>9.8000000000000004E-2</v>
      </c>
      <c r="M17" s="8">
        <v>0.27</v>
      </c>
      <c r="N17" s="8">
        <f t="shared" si="0"/>
        <v>0.91400000000000003</v>
      </c>
      <c r="O17" s="9">
        <v>2.5000000000000001E-3</v>
      </c>
      <c r="P17" s="9">
        <v>9.7000000000000005E-4</v>
      </c>
      <c r="Q17" s="16">
        <v>26</v>
      </c>
      <c r="R17" s="16">
        <v>894</v>
      </c>
    </row>
    <row r="18" spans="1:18" x14ac:dyDescent="0.2">
      <c r="A18" t="s">
        <v>53</v>
      </c>
      <c r="B18" s="4">
        <v>11853</v>
      </c>
      <c r="C18" s="5">
        <v>2.4729999999999999</v>
      </c>
      <c r="D18" s="6">
        <v>0.68100000000000005</v>
      </c>
      <c r="E18" s="7">
        <v>0</v>
      </c>
      <c r="F18" s="6">
        <f>SUM(C18:E18)</f>
        <v>3.1539999999999999</v>
      </c>
      <c r="G18" s="8">
        <v>0.95799999999999996</v>
      </c>
      <c r="H18" s="8">
        <v>0</v>
      </c>
      <c r="I18" s="8">
        <v>0.495</v>
      </c>
      <c r="J18" s="8">
        <v>0.79400000000000004</v>
      </c>
      <c r="K18" s="8">
        <v>0.17699999999999999</v>
      </c>
      <c r="L18" s="8">
        <v>0.17699999999999999</v>
      </c>
      <c r="M18" s="8">
        <v>0.27</v>
      </c>
      <c r="N18" s="8">
        <f t="shared" si="0"/>
        <v>2.871</v>
      </c>
      <c r="O18" s="9">
        <v>6.2500000000000003E-3</v>
      </c>
      <c r="P18" s="9">
        <v>5.5300000000000002E-3</v>
      </c>
      <c r="Q18" s="16">
        <v>139</v>
      </c>
      <c r="R18" s="16">
        <v>4785</v>
      </c>
    </row>
    <row r="19" spans="1:18" x14ac:dyDescent="0.2">
      <c r="A19" t="s">
        <v>54</v>
      </c>
      <c r="B19" s="4">
        <v>24148</v>
      </c>
      <c r="C19" s="5">
        <v>7.8150000000000004</v>
      </c>
      <c r="D19" s="6">
        <v>2.359</v>
      </c>
      <c r="E19" s="7">
        <v>0</v>
      </c>
      <c r="F19" s="6">
        <f>SUM(C19:E19)</f>
        <v>10.173999999999999</v>
      </c>
      <c r="G19" s="8">
        <v>3.0960000000000001</v>
      </c>
      <c r="H19" s="8">
        <v>0</v>
      </c>
      <c r="I19" s="8">
        <v>1.5189999999999999</v>
      </c>
      <c r="J19" s="8">
        <v>0.311</v>
      </c>
      <c r="K19" s="8">
        <v>0.29899999999999999</v>
      </c>
      <c r="L19" s="8">
        <v>0.84899999999999998</v>
      </c>
      <c r="M19" s="8">
        <v>4.2999999999999997E-2</v>
      </c>
      <c r="N19" s="8">
        <f t="shared" si="0"/>
        <v>6.1170000000000009</v>
      </c>
      <c r="O19" s="9">
        <v>1.5699999999999999E-2</v>
      </c>
      <c r="P19" s="9">
        <v>1.123E-2</v>
      </c>
      <c r="Q19" s="16">
        <v>418</v>
      </c>
      <c r="R19" s="16">
        <v>15039</v>
      </c>
    </row>
    <row r="20" spans="1:18" x14ac:dyDescent="0.2">
      <c r="A20" t="s">
        <v>55</v>
      </c>
      <c r="B20" s="4">
        <v>16691</v>
      </c>
      <c r="C20" s="5">
        <v>2.2589999999999999</v>
      </c>
      <c r="D20" s="6">
        <v>0.17899999999999999</v>
      </c>
      <c r="E20" s="7">
        <v>0</v>
      </c>
      <c r="F20" s="6">
        <f>SUM(C20:E20)</f>
        <v>2.4379999999999997</v>
      </c>
      <c r="G20" s="8">
        <v>3.0960000000000001</v>
      </c>
      <c r="H20" s="8">
        <v>0</v>
      </c>
      <c r="I20" s="8">
        <v>2.1070000000000002</v>
      </c>
      <c r="J20" s="8">
        <v>1.264</v>
      </c>
      <c r="K20" s="8">
        <v>0.20799999999999999</v>
      </c>
      <c r="L20" s="8">
        <v>0.88600000000000001</v>
      </c>
      <c r="M20" s="8">
        <v>4.3999999999999997E-2</v>
      </c>
      <c r="N20" s="8">
        <f t="shared" si="0"/>
        <v>7.6050000000000004</v>
      </c>
      <c r="O20" s="9">
        <v>1.8319999999999999E-2</v>
      </c>
      <c r="P20" s="9">
        <v>1.089E-2</v>
      </c>
      <c r="Q20" s="16">
        <v>7</v>
      </c>
      <c r="R20" s="16">
        <v>37</v>
      </c>
    </row>
    <row r="21" spans="1:18" x14ac:dyDescent="0.2">
      <c r="A21" t="s">
        <v>56</v>
      </c>
      <c r="B21" s="4">
        <v>9554</v>
      </c>
      <c r="C21" s="5">
        <v>13.581</v>
      </c>
      <c r="D21" s="6">
        <v>3.613</v>
      </c>
      <c r="E21" s="7">
        <v>0</v>
      </c>
      <c r="F21" s="6">
        <f>SUM(C21:E21)</f>
        <v>17.193999999999999</v>
      </c>
      <c r="G21" s="8">
        <v>0.13300000000000001</v>
      </c>
      <c r="H21" s="8">
        <v>0</v>
      </c>
      <c r="I21" s="8">
        <v>2.1480000000000001</v>
      </c>
      <c r="J21" s="8">
        <v>0.22900000000000001</v>
      </c>
      <c r="K21" s="8">
        <v>0.20100000000000001</v>
      </c>
      <c r="L21" s="8">
        <v>0.85299999999999998</v>
      </c>
      <c r="M21" s="8">
        <v>4.2999999999999997E-2</v>
      </c>
      <c r="N21" s="8">
        <f t="shared" si="0"/>
        <v>3.6070000000000002</v>
      </c>
      <c r="O21" s="9">
        <v>2.7349999999999999E-2</v>
      </c>
      <c r="P21" s="9">
        <v>5.0610000000000002E-2</v>
      </c>
      <c r="Q21" s="16">
        <v>943</v>
      </c>
      <c r="R21" s="16">
        <v>34064</v>
      </c>
    </row>
    <row r="22" spans="1:18" x14ac:dyDescent="0.2">
      <c r="A22" t="s">
        <v>57</v>
      </c>
      <c r="B22" s="4">
        <v>10311</v>
      </c>
      <c r="C22" s="5">
        <v>8.4580000000000002</v>
      </c>
      <c r="D22" s="6">
        <v>2.09</v>
      </c>
      <c r="E22" s="7">
        <v>0</v>
      </c>
      <c r="F22" s="6">
        <f>SUM(C22:E22)</f>
        <v>10.548</v>
      </c>
      <c r="G22" s="8">
        <v>0.21199999999999999</v>
      </c>
      <c r="H22" s="8">
        <v>0</v>
      </c>
      <c r="I22" s="8">
        <v>2.343</v>
      </c>
      <c r="J22" s="8">
        <v>0.193</v>
      </c>
      <c r="K22" s="8">
        <v>0.19</v>
      </c>
      <c r="L22" s="8">
        <v>0.84399999999999997</v>
      </c>
      <c r="M22" s="8">
        <v>4.5999999999999999E-2</v>
      </c>
      <c r="N22" s="8">
        <f t="shared" si="0"/>
        <v>3.8279999999999998</v>
      </c>
      <c r="O22" s="9">
        <v>2.8799999999999999E-2</v>
      </c>
      <c r="P22" s="9">
        <v>1.9390000000000001E-2</v>
      </c>
      <c r="Q22" s="16">
        <v>234</v>
      </c>
      <c r="R22" s="16">
        <v>10412</v>
      </c>
    </row>
    <row r="23" spans="1:18" x14ac:dyDescent="0.2">
      <c r="A23" t="s">
        <v>58</v>
      </c>
      <c r="B23" s="4">
        <v>2997</v>
      </c>
      <c r="C23" s="5">
        <v>27.213000000000001</v>
      </c>
      <c r="D23" s="6">
        <v>1.089</v>
      </c>
      <c r="E23" s="7">
        <v>0</v>
      </c>
      <c r="F23" s="6">
        <f>SUM(C23:E23)</f>
        <v>28.302</v>
      </c>
      <c r="G23" s="8">
        <v>-0.377</v>
      </c>
      <c r="H23" s="8">
        <v>0</v>
      </c>
      <c r="I23" s="8">
        <v>4.2720000000000002</v>
      </c>
      <c r="J23" s="8">
        <v>0.66</v>
      </c>
      <c r="K23" s="8">
        <v>0.48199999999999998</v>
      </c>
      <c r="L23" s="8">
        <v>0.86099999999999999</v>
      </c>
      <c r="M23" s="8">
        <v>4.5999999999999999E-2</v>
      </c>
      <c r="N23" s="8">
        <f t="shared" si="0"/>
        <v>5.9440000000000008</v>
      </c>
      <c r="O23" s="9">
        <v>4.1079999999999998E-2</v>
      </c>
      <c r="P23" s="9">
        <v>4.0239999999999998E-2</v>
      </c>
      <c r="Q23" s="16">
        <v>2322</v>
      </c>
      <c r="R23" s="16">
        <v>192719</v>
      </c>
    </row>
    <row r="24" spans="1:18" x14ac:dyDescent="0.2">
      <c r="A24" t="s">
        <v>8</v>
      </c>
      <c r="B24" s="4">
        <v>148957</v>
      </c>
      <c r="C24" s="5">
        <v>0.32800000000000001</v>
      </c>
      <c r="D24" s="6">
        <v>0.182</v>
      </c>
      <c r="E24" s="7">
        <v>0</v>
      </c>
      <c r="F24" s="6">
        <f>SUM(C24:E24)</f>
        <v>0.51</v>
      </c>
      <c r="G24" s="8">
        <v>0.372</v>
      </c>
      <c r="H24" s="8">
        <v>0</v>
      </c>
      <c r="I24" s="8">
        <v>0.70399999999999996</v>
      </c>
      <c r="J24" s="8">
        <v>1.2E-2</v>
      </c>
      <c r="K24" s="8">
        <v>0.17699999999999999</v>
      </c>
      <c r="L24" s="8">
        <v>0.14499999999999999</v>
      </c>
      <c r="M24" s="8">
        <v>1.7000000000000001E-2</v>
      </c>
      <c r="N24" s="8">
        <f t="shared" si="0"/>
        <v>1.427</v>
      </c>
      <c r="O24" s="9">
        <v>1.1429999999999999E-2</v>
      </c>
      <c r="P24" s="9">
        <v>4.81E-3</v>
      </c>
      <c r="Q24" s="16">
        <v>235</v>
      </c>
      <c r="R24" s="16">
        <v>4013</v>
      </c>
    </row>
    <row r="25" spans="1:18" x14ac:dyDescent="0.2">
      <c r="A25" t="s">
        <v>62</v>
      </c>
      <c r="B25" s="4">
        <v>77927</v>
      </c>
      <c r="C25" s="5">
        <v>0.219</v>
      </c>
      <c r="D25" s="6">
        <v>6.6000000000000003E-2</v>
      </c>
      <c r="E25" s="7">
        <v>0</v>
      </c>
      <c r="F25" s="6">
        <f>SUM(C25:E25)</f>
        <v>0.28500000000000003</v>
      </c>
      <c r="G25" s="8">
        <v>5.0000000000000001E-3</v>
      </c>
      <c r="H25" s="8">
        <v>0</v>
      </c>
      <c r="I25" s="8">
        <v>0.21099999999999999</v>
      </c>
      <c r="J25" s="8">
        <v>0</v>
      </c>
      <c r="K25" s="8">
        <v>9.5000000000000001E-2</v>
      </c>
      <c r="L25" s="8">
        <v>4.4999999999999998E-2</v>
      </c>
      <c r="M25" s="8">
        <v>3.9E-2</v>
      </c>
      <c r="N25" s="8">
        <f t="shared" si="0"/>
        <v>0.39499999999999996</v>
      </c>
      <c r="O25" s="9">
        <v>3.0400000000000002E-3</v>
      </c>
      <c r="P25" s="9">
        <v>2.3E-3</v>
      </c>
      <c r="Q25" s="16">
        <v>11</v>
      </c>
      <c r="R25" s="16">
        <v>746</v>
      </c>
    </row>
    <row r="26" spans="1:18" x14ac:dyDescent="0.2">
      <c r="A26" t="s">
        <v>9</v>
      </c>
      <c r="B26" s="4">
        <v>35154</v>
      </c>
      <c r="C26" s="5">
        <v>0.23100000000000001</v>
      </c>
      <c r="D26" s="6">
        <v>3.2000000000000001E-2</v>
      </c>
      <c r="E26" s="7">
        <v>0</v>
      </c>
      <c r="F26" s="6">
        <f>SUM(C26:E26)</f>
        <v>0.26300000000000001</v>
      </c>
      <c r="G26" s="8">
        <v>1.2999999999999999E-2</v>
      </c>
      <c r="H26" s="8">
        <v>0</v>
      </c>
      <c r="I26" s="8">
        <v>0.154</v>
      </c>
      <c r="J26" s="8">
        <v>0</v>
      </c>
      <c r="K26" s="8">
        <v>0.114</v>
      </c>
      <c r="L26" s="8">
        <v>4.4999999999999998E-2</v>
      </c>
      <c r="M26" s="8">
        <v>3.9E-2</v>
      </c>
      <c r="N26" s="8">
        <f t="shared" si="0"/>
        <v>0.36499999999999999</v>
      </c>
      <c r="O26" s="9">
        <v>2.5300000000000001E-3</v>
      </c>
      <c r="P26" s="9">
        <v>1.32E-3</v>
      </c>
      <c r="Q26" s="16">
        <v>23</v>
      </c>
      <c r="R26" s="16">
        <v>776</v>
      </c>
    </row>
    <row r="27" spans="1:18" x14ac:dyDescent="0.2">
      <c r="A27" t="s">
        <v>47</v>
      </c>
      <c r="B27" s="4">
        <v>77045</v>
      </c>
      <c r="C27" s="5">
        <v>0.30299999999999999</v>
      </c>
      <c r="D27" s="6">
        <v>0.14899999999999999</v>
      </c>
      <c r="E27" s="7">
        <v>0</v>
      </c>
      <c r="F27" s="6">
        <f>SUM(C27:E27)</f>
        <v>0.45199999999999996</v>
      </c>
      <c r="G27" s="8">
        <v>2E-3</v>
      </c>
      <c r="H27" s="8">
        <v>0</v>
      </c>
      <c r="I27" s="8">
        <v>0.27800000000000002</v>
      </c>
      <c r="J27" s="8">
        <v>0</v>
      </c>
      <c r="K27" s="8">
        <v>9.5000000000000001E-2</v>
      </c>
      <c r="L27" s="8">
        <v>4.4999999999999998E-2</v>
      </c>
      <c r="M27" s="8">
        <v>1.7000000000000001E-2</v>
      </c>
      <c r="N27" s="8">
        <f t="shared" si="0"/>
        <v>0.437</v>
      </c>
      <c r="O27" s="9">
        <v>6.8599999999999998E-3</v>
      </c>
      <c r="P27" s="9">
        <v>4.1399999999999996E-3</v>
      </c>
      <c r="Q27" s="16">
        <v>97</v>
      </c>
      <c r="R27" s="16">
        <v>6878</v>
      </c>
    </row>
    <row r="28" spans="1:18" x14ac:dyDescent="0.2">
      <c r="A28" t="s">
        <v>10</v>
      </c>
      <c r="B28" s="4">
        <v>654375</v>
      </c>
      <c r="C28" s="5">
        <v>0.223</v>
      </c>
      <c r="D28" s="6">
        <v>8.6999999999999994E-2</v>
      </c>
      <c r="E28" s="7">
        <v>0</v>
      </c>
      <c r="F28" s="6">
        <f>SUM(C28:E28)</f>
        <v>0.31</v>
      </c>
      <c r="G28" s="8">
        <v>1E-3</v>
      </c>
      <c r="H28" s="8">
        <v>0</v>
      </c>
      <c r="I28" s="8">
        <v>0.17399999999999999</v>
      </c>
      <c r="J28" s="8">
        <v>0.06</v>
      </c>
      <c r="K28" s="8">
        <v>0.16400000000000001</v>
      </c>
      <c r="L28" s="8">
        <v>4.1000000000000002E-2</v>
      </c>
      <c r="M28" s="8">
        <v>1.4999999999999999E-2</v>
      </c>
      <c r="N28" s="8">
        <f t="shared" si="0"/>
        <v>0.45500000000000002</v>
      </c>
      <c r="O28" s="9">
        <v>5.3099999999999996E-3</v>
      </c>
      <c r="P28" s="9">
        <v>1.8600000000000001E-3</v>
      </c>
      <c r="Q28" s="16">
        <v>83</v>
      </c>
      <c r="R28" s="16">
        <v>3958</v>
      </c>
    </row>
    <row r="29" spans="1:18" x14ac:dyDescent="0.2">
      <c r="A29" t="s">
        <v>11</v>
      </c>
      <c r="B29" s="4">
        <v>127923</v>
      </c>
      <c r="C29" s="5">
        <v>0.63700000000000001</v>
      </c>
      <c r="D29" s="6">
        <v>3.7999999999999999E-2</v>
      </c>
      <c r="E29" s="7">
        <v>0</v>
      </c>
      <c r="F29" s="6">
        <f>SUM(C29:E29)</f>
        <v>0.67500000000000004</v>
      </c>
      <c r="G29" s="8">
        <v>-0.14599999999999999</v>
      </c>
      <c r="H29" s="8">
        <v>0</v>
      </c>
      <c r="I29" s="8">
        <v>0.307</v>
      </c>
      <c r="J29" s="8">
        <v>0</v>
      </c>
      <c r="K29" s="8">
        <v>9.4E-2</v>
      </c>
      <c r="L29" s="8">
        <v>4.4999999999999998E-2</v>
      </c>
      <c r="M29" s="8">
        <v>1.7000000000000001E-2</v>
      </c>
      <c r="N29" s="8">
        <f t="shared" si="0"/>
        <v>0.317</v>
      </c>
      <c r="O29" s="9">
        <v>3.0599999999999998E-3</v>
      </c>
      <c r="P29" s="9">
        <v>1.57E-3</v>
      </c>
      <c r="Q29" s="16">
        <v>65</v>
      </c>
      <c r="R29" s="16">
        <v>3678</v>
      </c>
    </row>
    <row r="30" spans="1:18" x14ac:dyDescent="0.2">
      <c r="A30" t="s">
        <v>12</v>
      </c>
      <c r="B30" s="4">
        <v>128971</v>
      </c>
      <c r="C30" s="5">
        <v>1.23</v>
      </c>
      <c r="D30" s="6">
        <v>0</v>
      </c>
      <c r="E30" s="7">
        <v>0</v>
      </c>
      <c r="F30" s="6">
        <f>SUM(C30:E30)</f>
        <v>1.23</v>
      </c>
      <c r="G30" s="8">
        <v>-2.5000000000000001E-2</v>
      </c>
      <c r="H30" s="8">
        <v>0</v>
      </c>
      <c r="I30" s="8">
        <v>0.26600000000000001</v>
      </c>
      <c r="J30" s="8">
        <v>5.8999999999999997E-2</v>
      </c>
      <c r="K30" s="8">
        <v>0.29199999999999998</v>
      </c>
      <c r="L30" s="8">
        <v>6.5000000000000002E-2</v>
      </c>
      <c r="M30" s="8">
        <v>2.1000000000000001E-2</v>
      </c>
      <c r="N30" s="8">
        <f t="shared" si="0"/>
        <v>0.67800000000000005</v>
      </c>
      <c r="O30" s="9">
        <v>4.6899999999999997E-3</v>
      </c>
      <c r="P30" s="9">
        <v>2.2499999999999998E-3</v>
      </c>
      <c r="Q30" s="16">
        <v>86</v>
      </c>
      <c r="R30" s="16">
        <v>491</v>
      </c>
    </row>
    <row r="31" spans="1:18" x14ac:dyDescent="0.2">
      <c r="A31" t="s">
        <v>13</v>
      </c>
      <c r="B31" s="4">
        <v>75781</v>
      </c>
      <c r="C31" s="5">
        <v>0.46500000000000002</v>
      </c>
      <c r="D31" s="6">
        <v>2.8000000000000001E-2</v>
      </c>
      <c r="E31" s="7">
        <v>0</v>
      </c>
      <c r="F31" s="6">
        <f>SUM(C31:E31)</f>
        <v>0.49300000000000005</v>
      </c>
      <c r="G31" s="8">
        <v>-2.9000000000000001E-2</v>
      </c>
      <c r="H31" s="8">
        <v>0</v>
      </c>
      <c r="I31" s="8">
        <v>0.22500000000000001</v>
      </c>
      <c r="J31" s="8">
        <v>4.0000000000000001E-3</v>
      </c>
      <c r="K31" s="8">
        <v>9.6000000000000002E-2</v>
      </c>
      <c r="L31" s="8">
        <v>4.3999999999999997E-2</v>
      </c>
      <c r="M31" s="8">
        <v>1.7000000000000001E-2</v>
      </c>
      <c r="N31" s="8">
        <f t="shared" si="0"/>
        <v>0.35700000000000004</v>
      </c>
      <c r="O31" s="9">
        <v>2.9099999999999998E-3</v>
      </c>
      <c r="P31" s="9">
        <v>1.15E-3</v>
      </c>
      <c r="Q31" s="16">
        <v>140</v>
      </c>
      <c r="R31" s="16">
        <v>10007</v>
      </c>
    </row>
    <row r="32" spans="1:18" x14ac:dyDescent="0.2">
      <c r="A32" t="s">
        <v>63</v>
      </c>
      <c r="B32" s="4">
        <v>67079</v>
      </c>
      <c r="C32" s="5">
        <v>0.74099999999999999</v>
      </c>
      <c r="D32" s="6">
        <v>0.89900000000000002</v>
      </c>
      <c r="E32" s="7">
        <v>0</v>
      </c>
      <c r="F32" s="6">
        <f>SUM(C32:E32)</f>
        <v>1.6400000000000001</v>
      </c>
      <c r="G32" s="8">
        <v>2.5000000000000001E-2</v>
      </c>
      <c r="H32" s="8">
        <v>0</v>
      </c>
      <c r="I32" s="8">
        <v>0.72199999999999998</v>
      </c>
      <c r="J32" s="8">
        <v>0</v>
      </c>
      <c r="K32" s="8">
        <v>0.23799999999999999</v>
      </c>
      <c r="L32" s="8">
        <v>0.21199999999999999</v>
      </c>
      <c r="M32" s="8">
        <v>1.7000000000000001E-2</v>
      </c>
      <c r="N32" s="8">
        <f t="shared" si="0"/>
        <v>1.214</v>
      </c>
      <c r="O32" s="9">
        <v>9.8899999999999995E-3</v>
      </c>
      <c r="P32" s="9">
        <v>5.3099999999999996E-3</v>
      </c>
      <c r="Q32" s="16">
        <v>292</v>
      </c>
      <c r="R32" s="16">
        <v>15180</v>
      </c>
    </row>
    <row r="33" spans="1:18" x14ac:dyDescent="0.2">
      <c r="A33" t="s">
        <v>64</v>
      </c>
      <c r="B33" s="4">
        <v>26013</v>
      </c>
      <c r="C33" s="5">
        <v>1.5529999999999999</v>
      </c>
      <c r="D33" s="6">
        <v>0</v>
      </c>
      <c r="E33" s="7">
        <v>0</v>
      </c>
      <c r="F33" s="6">
        <f>SUM(C33:E33)</f>
        <v>1.5529999999999999</v>
      </c>
      <c r="G33" s="8">
        <v>-6.0999999999999999E-2</v>
      </c>
      <c r="H33" s="8">
        <v>0</v>
      </c>
      <c r="I33" s="8">
        <v>0.626</v>
      </c>
      <c r="J33" s="8">
        <v>0.13900000000000001</v>
      </c>
      <c r="K33" s="8">
        <v>9.2999999999999999E-2</v>
      </c>
      <c r="L33" s="8">
        <v>0.749</v>
      </c>
      <c r="M33" s="8">
        <v>3.9E-2</v>
      </c>
      <c r="N33" s="8">
        <f t="shared" si="0"/>
        <v>1.5849999999999997</v>
      </c>
      <c r="O33" s="9">
        <v>1.128E-2</v>
      </c>
      <c r="P33" s="9">
        <v>4.0200000000000001E-3</v>
      </c>
      <c r="Q33" s="16">
        <v>68</v>
      </c>
      <c r="R33" s="16">
        <v>1003</v>
      </c>
    </row>
    <row r="34" spans="1:18" x14ac:dyDescent="0.2">
      <c r="A34" t="s">
        <v>14</v>
      </c>
      <c r="B34" s="4">
        <v>210650</v>
      </c>
      <c r="C34" s="5">
        <v>0.46500000000000002</v>
      </c>
      <c r="D34" s="6">
        <v>0.14499999999999999</v>
      </c>
      <c r="E34" s="7">
        <v>0</v>
      </c>
      <c r="F34" s="6">
        <f>SUM(C34:E34)</f>
        <v>0.61</v>
      </c>
      <c r="G34" s="8">
        <v>0.126</v>
      </c>
      <c r="H34" s="8">
        <v>0</v>
      </c>
      <c r="I34" s="8">
        <v>0.36899999999999999</v>
      </c>
      <c r="J34" s="8">
        <v>1.4999999999999999E-2</v>
      </c>
      <c r="K34" s="8">
        <v>0.182</v>
      </c>
      <c r="L34" s="8">
        <v>4.2000000000000003E-2</v>
      </c>
      <c r="M34" s="8">
        <v>1.6E-2</v>
      </c>
      <c r="N34" s="8">
        <f t="shared" si="0"/>
        <v>0.75</v>
      </c>
      <c r="O34" s="9">
        <v>4.3800000000000002E-3</v>
      </c>
      <c r="P34" s="9">
        <v>1.7899999999999999E-3</v>
      </c>
      <c r="Q34" s="16">
        <v>119</v>
      </c>
      <c r="R34" s="16">
        <v>7771</v>
      </c>
    </row>
    <row r="35" spans="1:18" x14ac:dyDescent="0.2">
      <c r="A35" t="s">
        <v>15</v>
      </c>
      <c r="B35" s="4">
        <v>7778</v>
      </c>
      <c r="C35" s="5">
        <v>10.683</v>
      </c>
      <c r="D35" s="6">
        <v>1.038</v>
      </c>
      <c r="E35" s="7">
        <v>0</v>
      </c>
      <c r="F35" s="6">
        <f>SUM(C35:E35)</f>
        <v>11.721</v>
      </c>
      <c r="G35" s="8">
        <v>3.6880000000000002</v>
      </c>
      <c r="H35" s="8">
        <v>0</v>
      </c>
      <c r="I35" s="8">
        <v>10.385999999999999</v>
      </c>
      <c r="J35" s="8">
        <v>0.59199999999999997</v>
      </c>
      <c r="K35" s="8">
        <v>0.13</v>
      </c>
      <c r="L35" s="8">
        <v>1.63</v>
      </c>
      <c r="M35" s="8">
        <v>5.0999999999999997E-2</v>
      </c>
      <c r="N35" s="8">
        <f t="shared" si="0"/>
        <v>16.477</v>
      </c>
      <c r="O35" s="9">
        <v>4.6080000000000003E-2</v>
      </c>
      <c r="P35" s="9">
        <v>6.0199999999999997E-2</v>
      </c>
      <c r="Q35" s="16">
        <v>14</v>
      </c>
      <c r="R35" s="16">
        <v>182</v>
      </c>
    </row>
    <row r="36" spans="1:18" x14ac:dyDescent="0.2">
      <c r="A36" t="s">
        <v>65</v>
      </c>
      <c r="B36" s="4">
        <v>4416</v>
      </c>
      <c r="C36" s="5">
        <v>18.634</v>
      </c>
      <c r="D36" s="6">
        <v>5.0590000000000002</v>
      </c>
      <c r="E36" s="7">
        <v>0</v>
      </c>
      <c r="F36" s="6">
        <f>SUM(C36:E36)</f>
        <v>23.693000000000001</v>
      </c>
      <c r="G36" s="8">
        <v>14.308</v>
      </c>
      <c r="H36" s="8">
        <v>0</v>
      </c>
      <c r="I36" s="8">
        <v>3.706</v>
      </c>
      <c r="J36" s="8">
        <v>0.185</v>
      </c>
      <c r="K36" s="8">
        <v>6.0999999999999999E-2</v>
      </c>
      <c r="L36" s="8">
        <v>0.4</v>
      </c>
      <c r="M36" s="8">
        <v>2.1000000000000001E-2</v>
      </c>
      <c r="N36" s="8">
        <f t="shared" si="0"/>
        <v>18.680999999999997</v>
      </c>
      <c r="O36" s="9">
        <v>1.6590000000000001E-2</v>
      </c>
      <c r="P36" s="9">
        <v>3.0609999999999998E-2</v>
      </c>
      <c r="Q36" s="16">
        <v>209</v>
      </c>
      <c r="R36" s="16">
        <v>1097</v>
      </c>
    </row>
    <row r="37" spans="1:18" x14ac:dyDescent="0.2">
      <c r="A37" t="s">
        <v>49</v>
      </c>
      <c r="B37" s="4">
        <v>40571</v>
      </c>
      <c r="C37" s="5">
        <v>20.507000000000001</v>
      </c>
      <c r="D37" s="6">
        <v>5.0670000000000002</v>
      </c>
      <c r="E37" s="7">
        <v>168.09200000000001</v>
      </c>
      <c r="F37" s="6">
        <f>SUM(C37:E37)</f>
        <v>193.66600000000003</v>
      </c>
      <c r="G37" s="8">
        <v>16.277999999999999</v>
      </c>
      <c r="H37" s="8">
        <v>1.8779999999999999</v>
      </c>
      <c r="I37" s="8">
        <v>39.387999999999998</v>
      </c>
      <c r="J37" s="8">
        <v>1.2689999999999999</v>
      </c>
      <c r="K37" s="8">
        <v>0.34599999999999997</v>
      </c>
      <c r="L37" s="8">
        <v>0.247</v>
      </c>
      <c r="M37" s="8">
        <v>0.16400000000000001</v>
      </c>
      <c r="N37" s="8">
        <f t="shared" si="0"/>
        <v>59.569999999999993</v>
      </c>
      <c r="O37" s="9">
        <v>0.18929000000000001</v>
      </c>
      <c r="P37" s="9">
        <v>0.17746999999999999</v>
      </c>
      <c r="Q37" s="16">
        <v>871</v>
      </c>
      <c r="R37" s="16">
        <v>21163</v>
      </c>
    </row>
    <row r="38" spans="1:18" x14ac:dyDescent="0.2">
      <c r="A38" t="s">
        <v>50</v>
      </c>
      <c r="B38" s="4">
        <v>31425</v>
      </c>
      <c r="C38" s="5">
        <v>10.096</v>
      </c>
      <c r="D38" s="6">
        <v>1.9650000000000001</v>
      </c>
      <c r="E38" s="7">
        <v>13.667</v>
      </c>
      <c r="F38" s="6">
        <f>SUM(C38:E38)</f>
        <v>25.728000000000002</v>
      </c>
      <c r="G38" s="8">
        <v>0.90600000000000003</v>
      </c>
      <c r="H38" s="8">
        <v>2.508</v>
      </c>
      <c r="I38" s="8">
        <v>15.689</v>
      </c>
      <c r="J38" s="8">
        <v>1.1080000000000001</v>
      </c>
      <c r="K38" s="8">
        <v>0.42399999999999999</v>
      </c>
      <c r="L38" s="8">
        <v>0.26800000000000002</v>
      </c>
      <c r="M38" s="8">
        <v>0.182</v>
      </c>
      <c r="N38" s="8">
        <f t="shared" si="0"/>
        <v>21.085000000000001</v>
      </c>
      <c r="O38" s="9">
        <v>0.20946000000000001</v>
      </c>
      <c r="P38" s="9">
        <v>0.20882999999999999</v>
      </c>
      <c r="Q38" s="16">
        <v>1650</v>
      </c>
      <c r="R38" s="16">
        <v>75339</v>
      </c>
    </row>
    <row r="39" spans="1:18" x14ac:dyDescent="0.2">
      <c r="A39" t="s">
        <v>48</v>
      </c>
      <c r="B39" s="4">
        <v>14195</v>
      </c>
      <c r="C39" s="5">
        <v>9.2919999999999998</v>
      </c>
      <c r="D39" s="6">
        <v>1.6659999999999999</v>
      </c>
      <c r="E39" s="7">
        <v>212.34800000000001</v>
      </c>
      <c r="F39" s="6">
        <f>SUM(C39:E39)</f>
        <v>223.30600000000001</v>
      </c>
      <c r="G39" s="8">
        <v>0.46800000000000003</v>
      </c>
      <c r="H39" s="8">
        <v>2.37</v>
      </c>
      <c r="I39" s="8">
        <v>19.507999999999999</v>
      </c>
      <c r="J39" s="8">
        <v>1.111</v>
      </c>
      <c r="K39" s="8">
        <v>0.49</v>
      </c>
      <c r="L39" s="8">
        <v>0.251</v>
      </c>
      <c r="M39" s="8">
        <v>0.217</v>
      </c>
      <c r="N39" s="8">
        <f t="shared" si="0"/>
        <v>24.414999999999999</v>
      </c>
      <c r="O39" s="9">
        <v>8.7260000000000004E-2</v>
      </c>
      <c r="P39" s="9">
        <v>5.9650000000000002E-2</v>
      </c>
      <c r="Q39" s="16">
        <v>1082</v>
      </c>
      <c r="R39" s="16">
        <v>85193</v>
      </c>
    </row>
    <row r="40" spans="1:18" x14ac:dyDescent="0.2">
      <c r="A40" t="s">
        <v>16</v>
      </c>
      <c r="B40" s="4">
        <v>112892</v>
      </c>
      <c r="C40" s="5">
        <v>7.8819999999999997</v>
      </c>
      <c r="D40" s="6">
        <v>2.23</v>
      </c>
      <c r="E40" s="7">
        <v>4.3999999999999997E-2</v>
      </c>
      <c r="F40" s="6">
        <f>SUM(C40:E40)</f>
        <v>10.156000000000001</v>
      </c>
      <c r="G40" s="8">
        <v>1.5349999999999999</v>
      </c>
      <c r="H40" s="8">
        <v>2.94</v>
      </c>
      <c r="I40" s="8">
        <v>1.694</v>
      </c>
      <c r="J40" s="8">
        <v>0.28399999999999997</v>
      </c>
      <c r="K40" s="8">
        <v>0.34300000000000003</v>
      </c>
      <c r="L40" s="8">
        <v>0.29599999999999999</v>
      </c>
      <c r="M40" s="8">
        <v>0.19</v>
      </c>
      <c r="N40" s="8">
        <f t="shared" si="0"/>
        <v>7.282</v>
      </c>
      <c r="O40" s="9">
        <v>8.2650000000000001E-2</v>
      </c>
      <c r="P40" s="9">
        <v>4.4159999999999998E-2</v>
      </c>
      <c r="Q40" s="16">
        <v>1073</v>
      </c>
      <c r="R40" s="16">
        <v>40028</v>
      </c>
    </row>
    <row r="41" spans="1:18" x14ac:dyDescent="0.2">
      <c r="A41" t="s">
        <v>17</v>
      </c>
      <c r="B41" s="4">
        <v>96439</v>
      </c>
      <c r="C41" s="5">
        <v>5.66</v>
      </c>
      <c r="D41" s="6">
        <v>1.83</v>
      </c>
      <c r="E41" s="7">
        <v>0</v>
      </c>
      <c r="F41" s="6">
        <f>SUM(C41:E41)</f>
        <v>7.49</v>
      </c>
      <c r="G41" s="8">
        <v>2.54</v>
      </c>
      <c r="H41" s="8">
        <v>1.7749999999999999</v>
      </c>
      <c r="I41" s="8">
        <v>0.67200000000000004</v>
      </c>
      <c r="J41" s="8">
        <v>0.44</v>
      </c>
      <c r="K41" s="8">
        <v>0.27600000000000002</v>
      </c>
      <c r="L41" s="8">
        <v>0.21199999999999999</v>
      </c>
      <c r="M41" s="8">
        <v>0.17699999999999999</v>
      </c>
      <c r="N41" s="8">
        <f t="shared" si="0"/>
        <v>6.0919999999999987</v>
      </c>
      <c r="O41" s="9">
        <v>6.4390000000000003E-2</v>
      </c>
      <c r="P41" s="9">
        <v>2.9569999999999999E-2</v>
      </c>
      <c r="Q41" s="16">
        <v>402</v>
      </c>
      <c r="R41" s="16">
        <v>8828</v>
      </c>
    </row>
    <row r="42" spans="1:18" x14ac:dyDescent="0.2">
      <c r="A42" t="s">
        <v>18</v>
      </c>
      <c r="B42" s="4">
        <v>470267</v>
      </c>
      <c r="C42" s="5">
        <v>1.327</v>
      </c>
      <c r="D42" s="6">
        <v>0.40200000000000002</v>
      </c>
      <c r="E42" s="7">
        <v>6.2750000000000004</v>
      </c>
      <c r="F42" s="6">
        <f>SUM(C42:E42)</f>
        <v>8.0040000000000013</v>
      </c>
      <c r="G42" s="8">
        <v>0.495</v>
      </c>
      <c r="H42" s="8">
        <v>0.23599999999999999</v>
      </c>
      <c r="I42" s="8">
        <v>1.458</v>
      </c>
      <c r="J42" s="8">
        <v>0.14899999999999999</v>
      </c>
      <c r="K42" s="8">
        <v>0.09</v>
      </c>
      <c r="L42" s="8">
        <v>9.7000000000000003E-2</v>
      </c>
      <c r="M42" s="8">
        <v>0.25600000000000001</v>
      </c>
      <c r="N42" s="8">
        <f t="shared" si="0"/>
        <v>2.7809999999999997</v>
      </c>
      <c r="O42" s="9">
        <v>1.7659999999999999E-2</v>
      </c>
      <c r="P42" s="9">
        <v>9.3399999999999993E-3</v>
      </c>
      <c r="Q42" s="16">
        <v>533</v>
      </c>
      <c r="R42" s="16">
        <v>16951</v>
      </c>
    </row>
    <row r="43" spans="1:18" x14ac:dyDescent="0.2">
      <c r="A43" t="s">
        <v>19</v>
      </c>
      <c r="B43" s="4">
        <v>21191</v>
      </c>
      <c r="C43" s="5">
        <v>12.103999999999999</v>
      </c>
      <c r="D43" s="6">
        <v>3.6579999999999999</v>
      </c>
      <c r="E43" s="7">
        <v>64.88</v>
      </c>
      <c r="F43" s="6">
        <f>SUM(C43:E43)</f>
        <v>80.641999999999996</v>
      </c>
      <c r="G43" s="8">
        <v>4.4550000000000001</v>
      </c>
      <c r="H43" s="8">
        <v>2.3460000000000001</v>
      </c>
      <c r="I43" s="8">
        <v>13.058999999999999</v>
      </c>
      <c r="J43" s="8">
        <v>0.73799999999999999</v>
      </c>
      <c r="K43" s="8">
        <v>0.13800000000000001</v>
      </c>
      <c r="L43" s="8">
        <v>0.17199999999999999</v>
      </c>
      <c r="M43" s="8">
        <v>0.33200000000000002</v>
      </c>
      <c r="N43" s="8">
        <f t="shared" si="0"/>
        <v>21.240000000000002</v>
      </c>
      <c r="O43" s="9">
        <v>0.14893999999999999</v>
      </c>
      <c r="P43" s="9">
        <v>8.8749999999999996E-2</v>
      </c>
      <c r="Q43" s="16">
        <v>4735</v>
      </c>
      <c r="R43" s="16">
        <v>155464</v>
      </c>
    </row>
    <row r="44" spans="1:18" x14ac:dyDescent="0.2">
      <c r="A44" t="s">
        <v>20</v>
      </c>
      <c r="B44" s="4">
        <v>63489</v>
      </c>
      <c r="C44" s="5">
        <v>4.6520000000000001</v>
      </c>
      <c r="D44" s="6">
        <v>1.397</v>
      </c>
      <c r="E44" s="7">
        <v>0</v>
      </c>
      <c r="F44" s="6">
        <f>SUM(C44:E44)</f>
        <v>6.0490000000000004</v>
      </c>
      <c r="G44" s="8">
        <v>0.70899999999999996</v>
      </c>
      <c r="H44" s="8">
        <v>2.2000000000000002</v>
      </c>
      <c r="I44" s="8">
        <v>1.3169999999999999</v>
      </c>
      <c r="J44" s="8">
        <v>0</v>
      </c>
      <c r="K44" s="8">
        <v>8.4000000000000005E-2</v>
      </c>
      <c r="L44" s="8">
        <v>0.161</v>
      </c>
      <c r="M44" s="8">
        <v>3.5999999999999997E-2</v>
      </c>
      <c r="N44" s="8">
        <f t="shared" si="0"/>
        <v>4.5069999999999988</v>
      </c>
      <c r="O44" s="9">
        <v>5.1819999999999998E-2</v>
      </c>
      <c r="P44" s="9">
        <v>2.102E-2</v>
      </c>
      <c r="Q44" s="16">
        <v>556</v>
      </c>
      <c r="R44" s="16">
        <v>17315</v>
      </c>
    </row>
    <row r="45" spans="1:18" x14ac:dyDescent="0.2">
      <c r="A45" t="s">
        <v>21</v>
      </c>
      <c r="B45" s="4">
        <v>45223</v>
      </c>
      <c r="C45" s="5">
        <v>2.67</v>
      </c>
      <c r="D45" s="6">
        <v>0.70799999999999996</v>
      </c>
      <c r="E45" s="7">
        <v>0</v>
      </c>
      <c r="F45" s="6">
        <f>SUM(C45:E45)</f>
        <v>3.3780000000000001</v>
      </c>
      <c r="G45" s="8">
        <v>0.53400000000000003</v>
      </c>
      <c r="H45" s="8">
        <v>0.81899999999999995</v>
      </c>
      <c r="I45" s="8">
        <v>3.5979999999999999</v>
      </c>
      <c r="J45" s="8">
        <v>0.02</v>
      </c>
      <c r="K45" s="8">
        <v>0.111</v>
      </c>
      <c r="L45" s="8">
        <v>6.0999999999999999E-2</v>
      </c>
      <c r="M45" s="8">
        <v>0.04</v>
      </c>
      <c r="N45" s="8">
        <f t="shared" si="0"/>
        <v>5.1829999999999989</v>
      </c>
      <c r="O45" s="9">
        <v>2.5000000000000001E-2</v>
      </c>
      <c r="P45" s="9">
        <v>9.2069999999999999E-2</v>
      </c>
      <c r="Q45" s="16">
        <v>1315</v>
      </c>
      <c r="R45" s="16">
        <v>13691</v>
      </c>
    </row>
    <row r="46" spans="1:18" x14ac:dyDescent="0.2">
      <c r="A46" t="s">
        <v>22</v>
      </c>
      <c r="B46" s="4">
        <v>10633</v>
      </c>
      <c r="C46" s="5">
        <v>1.1970000000000001</v>
      </c>
      <c r="D46" s="6">
        <v>0.23200000000000001</v>
      </c>
      <c r="E46" s="7">
        <v>0</v>
      </c>
      <c r="F46" s="6">
        <f>SUM(C46:E46)</f>
        <v>1.429</v>
      </c>
      <c r="G46" s="8">
        <v>0.20599999999999999</v>
      </c>
      <c r="H46" s="8">
        <v>2.5099999999999998</v>
      </c>
      <c r="I46" s="8">
        <v>8.3789999999999996</v>
      </c>
      <c r="J46" s="8">
        <v>0</v>
      </c>
      <c r="K46" s="8">
        <v>0.20599999999999999</v>
      </c>
      <c r="L46" s="8">
        <v>0.33400000000000002</v>
      </c>
      <c r="M46" s="8">
        <v>0.219</v>
      </c>
      <c r="N46" s="8">
        <f t="shared" si="0"/>
        <v>11.853999999999997</v>
      </c>
      <c r="O46" s="9">
        <v>5.9769999999999997E-2</v>
      </c>
      <c r="P46" s="9">
        <v>9.7869999999999999E-2</v>
      </c>
      <c r="Q46" s="16">
        <v>1394</v>
      </c>
      <c r="R46" s="16">
        <v>50685</v>
      </c>
    </row>
    <row r="47" spans="1:18" x14ac:dyDescent="0.2">
      <c r="A47" s="10" t="s">
        <v>67</v>
      </c>
      <c r="B47" s="4">
        <v>97562</v>
      </c>
      <c r="C47" s="5">
        <v>2.1619999999999999</v>
      </c>
      <c r="D47" s="6">
        <v>0.79900000000000004</v>
      </c>
      <c r="E47" s="7">
        <v>0</v>
      </c>
      <c r="F47" s="6">
        <f>SUM(C47:E47)</f>
        <v>2.9609999999999999</v>
      </c>
      <c r="G47" s="8">
        <v>0.161</v>
      </c>
      <c r="H47" s="8">
        <v>0</v>
      </c>
      <c r="I47" s="8">
        <v>0.74399999999999999</v>
      </c>
      <c r="J47" s="8">
        <v>0.16900000000000001</v>
      </c>
      <c r="K47" s="8">
        <v>0.109</v>
      </c>
      <c r="L47" s="8">
        <v>8.1000000000000003E-2</v>
      </c>
      <c r="M47" s="8">
        <v>4.9000000000000002E-2</v>
      </c>
      <c r="N47" s="8">
        <f t="shared" si="0"/>
        <v>1.3129999999999999</v>
      </c>
      <c r="O47" s="9">
        <v>1.052E-2</v>
      </c>
      <c r="P47" s="9">
        <v>5.6899999999999997E-3</v>
      </c>
      <c r="Q47" s="16">
        <v>438</v>
      </c>
      <c r="R47" s="16">
        <v>22262</v>
      </c>
    </row>
    <row r="48" spans="1:18" x14ac:dyDescent="0.2">
      <c r="A48" s="10" t="s">
        <v>27</v>
      </c>
      <c r="B48" s="4">
        <v>13404</v>
      </c>
      <c r="C48" s="5">
        <v>8.2409999999999997</v>
      </c>
      <c r="D48" s="6">
        <v>1.873</v>
      </c>
      <c r="E48" s="7">
        <v>0</v>
      </c>
      <c r="F48" s="6">
        <f>SUM(C48:E48)</f>
        <v>10.113999999999999</v>
      </c>
      <c r="G48" s="8">
        <v>2.0219999999999998</v>
      </c>
      <c r="H48" s="8">
        <v>0</v>
      </c>
      <c r="I48" s="8">
        <v>2.0299999999999998</v>
      </c>
      <c r="J48" s="8">
        <v>0.54600000000000004</v>
      </c>
      <c r="K48" s="8">
        <v>0.251</v>
      </c>
      <c r="L48" s="8">
        <v>0.85899999999999999</v>
      </c>
      <c r="M48" s="8">
        <v>4.3999999999999997E-2</v>
      </c>
      <c r="N48" s="8">
        <f t="shared" si="0"/>
        <v>5.7519999999999998</v>
      </c>
      <c r="O48" s="9">
        <v>2.145E-2</v>
      </c>
      <c r="P48" s="9">
        <v>1.9730000000000001E-2</v>
      </c>
      <c r="Q48" s="16">
        <v>449</v>
      </c>
      <c r="R48" s="16">
        <v>21573</v>
      </c>
    </row>
    <row r="49" spans="1:18" x14ac:dyDescent="0.2">
      <c r="A49" s="10" t="s">
        <v>68</v>
      </c>
      <c r="B49" s="4">
        <v>21564</v>
      </c>
      <c r="C49" s="5">
        <v>0</v>
      </c>
      <c r="D49" s="6">
        <v>0</v>
      </c>
      <c r="E49" s="7">
        <v>0</v>
      </c>
      <c r="F49" s="6">
        <f>SUM(C49:E49)</f>
        <v>0</v>
      </c>
      <c r="G49" s="8">
        <v>0</v>
      </c>
      <c r="H49" s="8">
        <v>0</v>
      </c>
      <c r="I49" s="8">
        <v>0</v>
      </c>
      <c r="J49" s="8">
        <v>0.13900000000000001</v>
      </c>
      <c r="K49" s="8">
        <v>0.70599999999999996</v>
      </c>
      <c r="L49" s="8">
        <v>8.6999999999999994E-2</v>
      </c>
      <c r="M49" s="8">
        <v>3.7999999999999999E-2</v>
      </c>
      <c r="N49" s="8">
        <f t="shared" si="0"/>
        <v>0.97</v>
      </c>
      <c r="O49" s="9">
        <v>7.4599999999999996E-3</v>
      </c>
      <c r="P49" s="9">
        <v>2.1800000000000001E-3</v>
      </c>
      <c r="Q49" s="16">
        <v>0</v>
      </c>
      <c r="R49" s="16">
        <v>0</v>
      </c>
    </row>
    <row r="50" spans="1:18" x14ac:dyDescent="0.2">
      <c r="A50" s="10" t="s">
        <v>69</v>
      </c>
      <c r="B50" s="4">
        <v>13269</v>
      </c>
      <c r="C50" s="5">
        <v>10.019</v>
      </c>
      <c r="D50" s="6">
        <v>2.3319999999999999</v>
      </c>
      <c r="E50" s="7">
        <v>0</v>
      </c>
      <c r="F50" s="6">
        <f>SUM(C50:E50)</f>
        <v>12.350999999999999</v>
      </c>
      <c r="G50" s="8">
        <v>6.0069999999999997</v>
      </c>
      <c r="H50" s="8">
        <v>0</v>
      </c>
      <c r="I50" s="8">
        <v>4.9379999999999997</v>
      </c>
      <c r="J50" s="8">
        <v>0.25900000000000001</v>
      </c>
      <c r="K50" s="8">
        <v>0.14299999999999999</v>
      </c>
      <c r="L50" s="8">
        <v>0.747</v>
      </c>
      <c r="M50" s="8">
        <v>0.03</v>
      </c>
      <c r="N50" s="8">
        <f t="shared" si="0"/>
        <v>12.124000000000001</v>
      </c>
      <c r="O50" s="9">
        <v>2.419E-2</v>
      </c>
      <c r="P50" s="9">
        <v>3.2039999999999999E-2</v>
      </c>
      <c r="Q50" s="16">
        <v>172</v>
      </c>
      <c r="R50" s="16">
        <v>5486</v>
      </c>
    </row>
    <row r="51" spans="1:18" x14ac:dyDescent="0.2">
      <c r="A51" s="10" t="s">
        <v>28</v>
      </c>
      <c r="B51" s="4">
        <v>10599</v>
      </c>
      <c r="C51" s="5">
        <v>6.8579999999999997</v>
      </c>
      <c r="D51" s="6">
        <v>2.0459999999999998</v>
      </c>
      <c r="E51" s="7">
        <v>2.4E-2</v>
      </c>
      <c r="F51" s="6">
        <f>SUM(C51:E51)</f>
        <v>8.927999999999999</v>
      </c>
      <c r="G51" s="8">
        <v>1.998</v>
      </c>
      <c r="H51" s="8">
        <v>2.403</v>
      </c>
      <c r="I51" s="8">
        <v>1.2230000000000001</v>
      </c>
      <c r="J51" s="8">
        <v>0.35599999999999998</v>
      </c>
      <c r="K51" s="8">
        <v>0.312</v>
      </c>
      <c r="L51" s="8">
        <v>0.25700000000000001</v>
      </c>
      <c r="M51" s="8">
        <v>0.184</v>
      </c>
      <c r="N51" s="8">
        <f t="shared" si="0"/>
        <v>6.7329999999999997</v>
      </c>
      <c r="O51" s="9">
        <v>7.424E-2</v>
      </c>
      <c r="P51" s="9">
        <v>3.7440000000000001E-2</v>
      </c>
      <c r="Q51" s="16">
        <v>764</v>
      </c>
      <c r="R51" s="16">
        <v>25654</v>
      </c>
    </row>
    <row r="52" spans="1:18" x14ac:dyDescent="0.2">
      <c r="A52" s="10" t="s">
        <v>29</v>
      </c>
      <c r="B52" s="4">
        <v>6618</v>
      </c>
      <c r="C52" s="5">
        <v>15.962999999999999</v>
      </c>
      <c r="D52" s="6">
        <v>3.7130000000000001</v>
      </c>
      <c r="E52" s="7">
        <v>100.688</v>
      </c>
      <c r="F52" s="6">
        <f>SUM(C52:E52)</f>
        <v>120.364</v>
      </c>
      <c r="G52" s="8">
        <v>9.5690000000000008</v>
      </c>
      <c r="H52" s="8">
        <v>2.153</v>
      </c>
      <c r="I52" s="8">
        <v>29.044</v>
      </c>
      <c r="J52" s="8">
        <v>1.1990000000000001</v>
      </c>
      <c r="K52" s="8">
        <v>0.38</v>
      </c>
      <c r="L52" s="8">
        <v>0.25600000000000001</v>
      </c>
      <c r="M52" s="8">
        <v>0.17199999999999999</v>
      </c>
      <c r="N52" s="8">
        <f t="shared" si="0"/>
        <v>42.773000000000003</v>
      </c>
      <c r="O52" s="9">
        <v>0.19808999999999999</v>
      </c>
      <c r="P52" s="9">
        <v>0.19116</v>
      </c>
      <c r="Q52" s="16">
        <v>1211</v>
      </c>
      <c r="R52" s="16">
        <v>44810</v>
      </c>
    </row>
    <row r="53" spans="1:18" x14ac:dyDescent="0.2">
      <c r="A53" s="10" t="s">
        <v>30</v>
      </c>
      <c r="B53" s="4">
        <v>12066</v>
      </c>
      <c r="C53" s="5">
        <v>1.327</v>
      </c>
      <c r="D53" s="6">
        <v>0.40200000000000002</v>
      </c>
      <c r="E53" s="7">
        <v>6.2750000000000004</v>
      </c>
      <c r="F53" s="6">
        <f>SUM(C53:E53)</f>
        <v>8.0040000000000013</v>
      </c>
      <c r="G53" s="8">
        <v>0.495</v>
      </c>
      <c r="H53" s="8">
        <v>0.23599999999999999</v>
      </c>
      <c r="I53" s="8">
        <v>1.458</v>
      </c>
      <c r="J53" s="8">
        <v>0.14899999999999999</v>
      </c>
      <c r="K53" s="8">
        <v>0.09</v>
      </c>
      <c r="L53" s="8">
        <v>9.7000000000000003E-2</v>
      </c>
      <c r="M53" s="8">
        <v>0.25600000000000001</v>
      </c>
      <c r="N53" s="8">
        <f t="shared" si="0"/>
        <v>2.7809999999999997</v>
      </c>
      <c r="O53" s="9">
        <v>1.7659999999999999E-2</v>
      </c>
      <c r="P53" s="9">
        <v>9.3399999999999993E-3</v>
      </c>
      <c r="Q53" s="16">
        <v>533</v>
      </c>
      <c r="R53" s="16">
        <v>16951</v>
      </c>
    </row>
    <row r="54" spans="1:18" x14ac:dyDescent="0.2">
      <c r="A54" s="10"/>
      <c r="B54" s="4"/>
      <c r="C54" s="5"/>
      <c r="D54" s="6"/>
      <c r="E54" s="7"/>
      <c r="F54" s="6"/>
      <c r="G54" s="8"/>
      <c r="H54" s="8"/>
      <c r="I54" s="8"/>
      <c r="J54" s="8"/>
      <c r="K54" s="8"/>
      <c r="L54" s="8"/>
      <c r="M54" s="8"/>
      <c r="N54" s="8"/>
      <c r="O54" s="9"/>
      <c r="P54" s="9"/>
      <c r="Q54" s="16"/>
      <c r="R54" s="16"/>
    </row>
  </sheetData>
  <mergeCells count="1">
    <mergeCell ref="B2:B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572F-D4EA-E04A-87F9-300DF62FDCAC}">
  <dimension ref="A1:F51"/>
  <sheetViews>
    <sheetView workbookViewId="0">
      <selection activeCell="F1" sqref="F1:F65536"/>
    </sheetView>
  </sheetViews>
  <sheetFormatPr baseColWidth="10" defaultRowHeight="15" x14ac:dyDescent="0.2"/>
  <cols>
    <col min="1" max="1" width="20.5" bestFit="1" customWidth="1"/>
    <col min="2" max="2" width="30" bestFit="1" customWidth="1"/>
    <col min="3" max="3" width="11.6640625" bestFit="1" customWidth="1"/>
    <col min="4" max="4" width="22" bestFit="1" customWidth="1"/>
    <col min="5" max="5" width="14.6640625" bestFit="1" customWidth="1"/>
    <col min="6" max="6" width="13.6640625" bestFit="1" customWidth="1"/>
  </cols>
  <sheetData>
    <row r="1" spans="1:6" x14ac:dyDescent="0.2">
      <c r="A1" s="22" t="s">
        <v>0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74</v>
      </c>
    </row>
    <row r="2" spans="1:6" x14ac:dyDescent="0.2">
      <c r="A2" t="s">
        <v>59</v>
      </c>
      <c r="B2">
        <v>482152</v>
      </c>
      <c r="C2">
        <v>3.4819999999999998</v>
      </c>
      <c r="D2">
        <v>1.4410000000000001</v>
      </c>
      <c r="E2">
        <v>7.0600000000000003E-3</v>
      </c>
      <c r="F2">
        <v>28918</v>
      </c>
    </row>
    <row r="3" spans="1:6" x14ac:dyDescent="0.2">
      <c r="A3" t="s">
        <v>1</v>
      </c>
      <c r="B3">
        <v>194554</v>
      </c>
      <c r="C3">
        <v>1.6280000000000001</v>
      </c>
      <c r="D3">
        <v>0.98800000000000021</v>
      </c>
      <c r="E3">
        <v>2.2599999999999999E-3</v>
      </c>
      <c r="F3">
        <v>6007</v>
      </c>
    </row>
    <row r="4" spans="1:6" x14ac:dyDescent="0.2">
      <c r="A4" t="s">
        <v>2</v>
      </c>
      <c r="B4">
        <v>206523</v>
      </c>
      <c r="C4">
        <v>0.94000000000000006</v>
      </c>
      <c r="D4">
        <v>1.109</v>
      </c>
      <c r="E4">
        <v>2.1099999999999999E-3</v>
      </c>
      <c r="F4">
        <v>604</v>
      </c>
    </row>
    <row r="5" spans="1:6" x14ac:dyDescent="0.2">
      <c r="A5" t="s">
        <v>60</v>
      </c>
      <c r="B5">
        <v>4463</v>
      </c>
      <c r="C5">
        <v>4.766</v>
      </c>
      <c r="D5">
        <v>1.575</v>
      </c>
      <c r="E5">
        <v>7.0499999999999998E-3</v>
      </c>
      <c r="F5">
        <v>11774</v>
      </c>
    </row>
    <row r="6" spans="1:6" x14ac:dyDescent="0.2">
      <c r="A6" t="s">
        <v>3</v>
      </c>
      <c r="B6">
        <v>397780</v>
      </c>
      <c r="C6">
        <v>2.4009999999999998</v>
      </c>
      <c r="D6">
        <v>3.8390000000000004</v>
      </c>
      <c r="E6">
        <v>2.972E-2</v>
      </c>
      <c r="F6">
        <v>43275</v>
      </c>
    </row>
    <row r="7" spans="1:6" x14ac:dyDescent="0.2">
      <c r="A7" t="s">
        <v>4</v>
      </c>
      <c r="B7">
        <v>332343</v>
      </c>
      <c r="C7">
        <v>0.64300000000000002</v>
      </c>
      <c r="D7">
        <v>0.37</v>
      </c>
      <c r="E7">
        <v>2.5500000000000002E-3</v>
      </c>
      <c r="F7">
        <v>2027</v>
      </c>
    </row>
    <row r="8" spans="1:6" x14ac:dyDescent="0.2">
      <c r="A8" t="s">
        <v>61</v>
      </c>
      <c r="B8">
        <v>173814</v>
      </c>
      <c r="C8">
        <v>1.254</v>
      </c>
      <c r="D8">
        <v>0.98699999999999999</v>
      </c>
      <c r="E8">
        <v>5.5999999999999995E-4</v>
      </c>
      <c r="F8">
        <v>0</v>
      </c>
    </row>
    <row r="9" spans="1:6" x14ac:dyDescent="0.2">
      <c r="A9" t="s">
        <v>45</v>
      </c>
      <c r="B9">
        <v>141702</v>
      </c>
      <c r="C9">
        <v>1.5940000000000001</v>
      </c>
      <c r="D9">
        <v>2.6720000000000002</v>
      </c>
      <c r="E9">
        <v>1.3599999999999999E-2</v>
      </c>
      <c r="F9">
        <v>13096</v>
      </c>
    </row>
    <row r="10" spans="1:6" x14ac:dyDescent="0.2">
      <c r="A10" t="s">
        <v>46</v>
      </c>
      <c r="B10">
        <v>34038</v>
      </c>
      <c r="C10">
        <v>1.4330000000000001</v>
      </c>
      <c r="D10">
        <v>1.536</v>
      </c>
      <c r="E10">
        <v>4.3699999999999998E-3</v>
      </c>
      <c r="F10">
        <v>7413</v>
      </c>
    </row>
    <row r="11" spans="1:6" x14ac:dyDescent="0.2">
      <c r="A11" t="s">
        <v>44</v>
      </c>
      <c r="B11">
        <v>42765</v>
      </c>
      <c r="C11">
        <v>13.620000000000001</v>
      </c>
      <c r="D11">
        <v>1.6099999999999999</v>
      </c>
      <c r="E11">
        <v>1.5010000000000001E-2</v>
      </c>
      <c r="F11">
        <v>18670</v>
      </c>
    </row>
    <row r="12" spans="1:6" x14ac:dyDescent="0.2">
      <c r="A12" t="s">
        <v>5</v>
      </c>
      <c r="B12">
        <v>6026</v>
      </c>
      <c r="C12">
        <v>6.7379999999999995</v>
      </c>
      <c r="D12">
        <v>0.89600000000000002</v>
      </c>
      <c r="E12">
        <v>6.8300000000000001E-3</v>
      </c>
      <c r="F12">
        <v>24856</v>
      </c>
    </row>
    <row r="13" spans="1:6" x14ac:dyDescent="0.2">
      <c r="A13" t="s">
        <v>6</v>
      </c>
      <c r="B13">
        <v>15296</v>
      </c>
      <c r="C13">
        <v>5.08</v>
      </c>
      <c r="D13">
        <v>0.27799999999999986</v>
      </c>
      <c r="E13">
        <v>8.8000000000000005E-3</v>
      </c>
      <c r="F13">
        <v>106382</v>
      </c>
    </row>
    <row r="14" spans="1:6" x14ac:dyDescent="0.2">
      <c r="A14" t="s">
        <v>7</v>
      </c>
      <c r="B14">
        <v>11827</v>
      </c>
      <c r="C14">
        <v>6.9710000000000001</v>
      </c>
      <c r="D14">
        <v>2.4970000000000003</v>
      </c>
      <c r="E14">
        <v>1.1169999999999999E-2</v>
      </c>
      <c r="F14">
        <v>48147</v>
      </c>
    </row>
    <row r="15" spans="1:6" x14ac:dyDescent="0.2">
      <c r="A15" t="s">
        <v>52</v>
      </c>
      <c r="B15">
        <v>33318</v>
      </c>
      <c r="C15">
        <v>0.59200000000000008</v>
      </c>
      <c r="D15">
        <v>0.91400000000000003</v>
      </c>
      <c r="E15">
        <v>9.7000000000000005E-4</v>
      </c>
      <c r="F15">
        <v>894</v>
      </c>
    </row>
    <row r="16" spans="1:6" x14ac:dyDescent="0.2">
      <c r="A16" t="s">
        <v>53</v>
      </c>
      <c r="B16">
        <v>11853</v>
      </c>
      <c r="C16">
        <v>3.1539999999999999</v>
      </c>
      <c r="D16">
        <v>2.871</v>
      </c>
      <c r="E16">
        <v>5.5300000000000002E-3</v>
      </c>
      <c r="F16">
        <v>4785</v>
      </c>
    </row>
    <row r="17" spans="1:6" x14ac:dyDescent="0.2">
      <c r="A17" t="s">
        <v>54</v>
      </c>
      <c r="B17">
        <v>24148</v>
      </c>
      <c r="C17">
        <v>10.173999999999999</v>
      </c>
      <c r="D17">
        <v>6.1170000000000009</v>
      </c>
      <c r="E17">
        <v>1.123E-2</v>
      </c>
      <c r="F17">
        <v>15039</v>
      </c>
    </row>
    <row r="18" spans="1:6" x14ac:dyDescent="0.2">
      <c r="A18" t="s">
        <v>55</v>
      </c>
      <c r="B18">
        <v>16691</v>
      </c>
      <c r="C18">
        <v>2.4379999999999997</v>
      </c>
      <c r="D18">
        <v>7.6050000000000004</v>
      </c>
      <c r="E18">
        <v>1.089E-2</v>
      </c>
      <c r="F18">
        <v>37</v>
      </c>
    </row>
    <row r="19" spans="1:6" x14ac:dyDescent="0.2">
      <c r="A19" t="s">
        <v>56</v>
      </c>
      <c r="B19">
        <v>9554</v>
      </c>
      <c r="C19">
        <v>17.193999999999999</v>
      </c>
      <c r="D19">
        <v>3.6070000000000002</v>
      </c>
      <c r="E19">
        <v>5.0610000000000002E-2</v>
      </c>
      <c r="F19">
        <v>34064</v>
      </c>
    </row>
    <row r="20" spans="1:6" x14ac:dyDescent="0.2">
      <c r="A20" t="s">
        <v>57</v>
      </c>
      <c r="B20">
        <v>10311</v>
      </c>
      <c r="C20">
        <v>10.548</v>
      </c>
      <c r="D20">
        <v>3.8279999999999998</v>
      </c>
      <c r="E20">
        <v>1.9390000000000001E-2</v>
      </c>
      <c r="F20">
        <v>10412</v>
      </c>
    </row>
    <row r="21" spans="1:6" x14ac:dyDescent="0.2">
      <c r="A21" t="s">
        <v>58</v>
      </c>
      <c r="B21">
        <v>2997</v>
      </c>
      <c r="C21">
        <v>28.302</v>
      </c>
      <c r="D21">
        <v>5.9440000000000008</v>
      </c>
      <c r="E21">
        <v>4.0239999999999998E-2</v>
      </c>
      <c r="F21">
        <v>192719</v>
      </c>
    </row>
    <row r="22" spans="1:6" x14ac:dyDescent="0.2">
      <c r="A22" t="s">
        <v>8</v>
      </c>
      <c r="B22">
        <v>148957</v>
      </c>
      <c r="C22">
        <v>0.51</v>
      </c>
      <c r="D22">
        <v>1.427</v>
      </c>
      <c r="E22">
        <v>4.81E-3</v>
      </c>
      <c r="F22">
        <v>4013</v>
      </c>
    </row>
    <row r="23" spans="1:6" x14ac:dyDescent="0.2">
      <c r="A23" t="s">
        <v>62</v>
      </c>
      <c r="B23">
        <v>77927</v>
      </c>
      <c r="C23">
        <v>0.28500000000000003</v>
      </c>
      <c r="D23">
        <v>0.39499999999999996</v>
      </c>
      <c r="E23">
        <v>2.3E-3</v>
      </c>
      <c r="F23">
        <v>746</v>
      </c>
    </row>
    <row r="24" spans="1:6" x14ac:dyDescent="0.2">
      <c r="A24" t="s">
        <v>9</v>
      </c>
      <c r="B24">
        <v>35154</v>
      </c>
      <c r="C24">
        <v>0.26300000000000001</v>
      </c>
      <c r="D24">
        <v>0.36499999999999999</v>
      </c>
      <c r="E24">
        <v>1.32E-3</v>
      </c>
      <c r="F24">
        <v>776</v>
      </c>
    </row>
    <row r="25" spans="1:6" x14ac:dyDescent="0.2">
      <c r="A25" t="s">
        <v>47</v>
      </c>
      <c r="B25">
        <v>77045</v>
      </c>
      <c r="C25">
        <v>0.45199999999999996</v>
      </c>
      <c r="D25">
        <v>0.437</v>
      </c>
      <c r="E25">
        <v>4.1399999999999996E-3</v>
      </c>
      <c r="F25">
        <v>6878</v>
      </c>
    </row>
    <row r="26" spans="1:6" x14ac:dyDescent="0.2">
      <c r="A26" t="s">
        <v>10</v>
      </c>
      <c r="B26">
        <v>654375</v>
      </c>
      <c r="C26">
        <v>0.31</v>
      </c>
      <c r="D26">
        <v>0.45500000000000002</v>
      </c>
      <c r="E26">
        <v>1.8600000000000001E-3</v>
      </c>
      <c r="F26">
        <v>3958</v>
      </c>
    </row>
    <row r="27" spans="1:6" x14ac:dyDescent="0.2">
      <c r="A27" t="s">
        <v>11</v>
      </c>
      <c r="B27">
        <v>127923</v>
      </c>
      <c r="C27">
        <v>0.67500000000000004</v>
      </c>
      <c r="D27">
        <v>0.317</v>
      </c>
      <c r="E27">
        <v>1.57E-3</v>
      </c>
      <c r="F27">
        <v>3678</v>
      </c>
    </row>
    <row r="28" spans="1:6" x14ac:dyDescent="0.2">
      <c r="A28" t="s">
        <v>12</v>
      </c>
      <c r="B28">
        <v>128971</v>
      </c>
      <c r="C28">
        <v>1.23</v>
      </c>
      <c r="D28">
        <v>0.67800000000000005</v>
      </c>
      <c r="E28">
        <v>2.2499999999999998E-3</v>
      </c>
      <c r="F28">
        <v>491</v>
      </c>
    </row>
    <row r="29" spans="1:6" x14ac:dyDescent="0.2">
      <c r="A29" t="s">
        <v>13</v>
      </c>
      <c r="B29">
        <v>75781</v>
      </c>
      <c r="C29">
        <v>0.49300000000000005</v>
      </c>
      <c r="D29">
        <v>0.35700000000000004</v>
      </c>
      <c r="E29">
        <v>1.15E-3</v>
      </c>
      <c r="F29">
        <v>10007</v>
      </c>
    </row>
    <row r="30" spans="1:6" x14ac:dyDescent="0.2">
      <c r="A30" t="s">
        <v>63</v>
      </c>
      <c r="B30">
        <v>67079</v>
      </c>
      <c r="C30">
        <v>1.6400000000000001</v>
      </c>
      <c r="D30">
        <v>1.214</v>
      </c>
      <c r="E30">
        <v>5.3099999999999996E-3</v>
      </c>
      <c r="F30">
        <v>15180</v>
      </c>
    </row>
    <row r="31" spans="1:6" x14ac:dyDescent="0.2">
      <c r="A31" t="s">
        <v>64</v>
      </c>
      <c r="B31">
        <v>26013</v>
      </c>
      <c r="C31">
        <v>1.5529999999999999</v>
      </c>
      <c r="D31">
        <v>1.5849999999999997</v>
      </c>
      <c r="E31">
        <v>4.0200000000000001E-3</v>
      </c>
      <c r="F31">
        <v>1003</v>
      </c>
    </row>
    <row r="32" spans="1:6" x14ac:dyDescent="0.2">
      <c r="A32" t="s">
        <v>14</v>
      </c>
      <c r="B32">
        <v>210650</v>
      </c>
      <c r="C32">
        <v>0.61</v>
      </c>
      <c r="D32">
        <v>0.75</v>
      </c>
      <c r="E32">
        <v>1.7899999999999999E-3</v>
      </c>
      <c r="F32">
        <v>7771</v>
      </c>
    </row>
    <row r="33" spans="1:6" x14ac:dyDescent="0.2">
      <c r="A33" t="s">
        <v>15</v>
      </c>
      <c r="B33">
        <v>7778</v>
      </c>
      <c r="C33">
        <v>11.721</v>
      </c>
      <c r="D33">
        <v>16.477</v>
      </c>
      <c r="E33">
        <v>6.0199999999999997E-2</v>
      </c>
      <c r="F33">
        <v>182</v>
      </c>
    </row>
    <row r="34" spans="1:6" x14ac:dyDescent="0.2">
      <c r="A34" t="s">
        <v>65</v>
      </c>
      <c r="B34">
        <v>4416</v>
      </c>
      <c r="C34">
        <v>23.693000000000001</v>
      </c>
      <c r="D34">
        <v>18.680999999999997</v>
      </c>
      <c r="E34">
        <v>3.0609999999999998E-2</v>
      </c>
      <c r="F34">
        <v>1097</v>
      </c>
    </row>
    <row r="35" spans="1:6" x14ac:dyDescent="0.2">
      <c r="A35" t="s">
        <v>49</v>
      </c>
      <c r="B35">
        <v>40571</v>
      </c>
      <c r="C35">
        <v>193.66600000000003</v>
      </c>
      <c r="D35">
        <v>59.569999999999993</v>
      </c>
      <c r="E35">
        <v>0.17746999999999999</v>
      </c>
      <c r="F35">
        <v>21163</v>
      </c>
    </row>
    <row r="36" spans="1:6" x14ac:dyDescent="0.2">
      <c r="A36" t="s">
        <v>50</v>
      </c>
      <c r="B36">
        <v>31425</v>
      </c>
      <c r="C36">
        <v>25.728000000000002</v>
      </c>
      <c r="D36">
        <v>21.085000000000001</v>
      </c>
      <c r="E36">
        <v>0.20882999999999999</v>
      </c>
      <c r="F36">
        <v>75339</v>
      </c>
    </row>
    <row r="37" spans="1:6" x14ac:dyDescent="0.2">
      <c r="A37" t="s">
        <v>48</v>
      </c>
      <c r="B37">
        <v>14195</v>
      </c>
      <c r="C37">
        <v>223.30600000000001</v>
      </c>
      <c r="D37">
        <v>24.414999999999999</v>
      </c>
      <c r="E37">
        <v>5.9650000000000002E-2</v>
      </c>
      <c r="F37">
        <v>85193</v>
      </c>
    </row>
    <row r="38" spans="1:6" x14ac:dyDescent="0.2">
      <c r="A38" t="s">
        <v>16</v>
      </c>
      <c r="B38">
        <v>112892</v>
      </c>
      <c r="C38">
        <v>10.156000000000001</v>
      </c>
      <c r="D38">
        <v>7.282</v>
      </c>
      <c r="E38">
        <v>4.4159999999999998E-2</v>
      </c>
      <c r="F38">
        <v>40028</v>
      </c>
    </row>
    <row r="39" spans="1:6" x14ac:dyDescent="0.2">
      <c r="A39" t="s">
        <v>17</v>
      </c>
      <c r="B39">
        <v>96439</v>
      </c>
      <c r="C39">
        <v>7.49</v>
      </c>
      <c r="D39">
        <v>6.0919999999999987</v>
      </c>
      <c r="E39">
        <v>2.9569999999999999E-2</v>
      </c>
      <c r="F39">
        <v>8828</v>
      </c>
    </row>
    <row r="40" spans="1:6" x14ac:dyDescent="0.2">
      <c r="A40" t="s">
        <v>18</v>
      </c>
      <c r="B40">
        <v>470267</v>
      </c>
      <c r="C40">
        <v>8.0040000000000013</v>
      </c>
      <c r="D40">
        <v>2.7809999999999997</v>
      </c>
      <c r="E40">
        <v>9.3399999999999993E-3</v>
      </c>
      <c r="F40">
        <v>16951</v>
      </c>
    </row>
    <row r="41" spans="1:6" x14ac:dyDescent="0.2">
      <c r="A41" t="s">
        <v>19</v>
      </c>
      <c r="B41">
        <v>21191</v>
      </c>
      <c r="C41">
        <v>80.641999999999996</v>
      </c>
      <c r="D41">
        <v>21.240000000000002</v>
      </c>
      <c r="E41">
        <v>8.8749999999999996E-2</v>
      </c>
      <c r="F41">
        <v>155464</v>
      </c>
    </row>
    <row r="42" spans="1:6" x14ac:dyDescent="0.2">
      <c r="A42" t="s">
        <v>20</v>
      </c>
      <c r="B42">
        <v>63489</v>
      </c>
      <c r="C42">
        <v>6.0490000000000004</v>
      </c>
      <c r="D42">
        <v>4.5069999999999988</v>
      </c>
      <c r="E42">
        <v>2.102E-2</v>
      </c>
      <c r="F42">
        <v>17315</v>
      </c>
    </row>
    <row r="43" spans="1:6" x14ac:dyDescent="0.2">
      <c r="A43" t="s">
        <v>21</v>
      </c>
      <c r="B43">
        <v>45223</v>
      </c>
      <c r="C43">
        <v>3.3780000000000001</v>
      </c>
      <c r="D43">
        <v>5.1829999999999989</v>
      </c>
      <c r="E43">
        <v>9.2069999999999999E-2</v>
      </c>
      <c r="F43">
        <v>13691</v>
      </c>
    </row>
    <row r="44" spans="1:6" x14ac:dyDescent="0.2">
      <c r="A44" t="s">
        <v>22</v>
      </c>
      <c r="B44">
        <v>10633</v>
      </c>
      <c r="C44">
        <v>1.429</v>
      </c>
      <c r="D44">
        <v>11.853999999999997</v>
      </c>
      <c r="E44">
        <v>9.7869999999999999E-2</v>
      </c>
      <c r="F44">
        <v>50685</v>
      </c>
    </row>
    <row r="45" spans="1:6" x14ac:dyDescent="0.2">
      <c r="A45" t="s">
        <v>67</v>
      </c>
      <c r="B45">
        <v>97562</v>
      </c>
      <c r="C45">
        <v>2.9609999999999999</v>
      </c>
      <c r="D45">
        <v>1.3129999999999999</v>
      </c>
      <c r="E45">
        <v>5.6899999999999997E-3</v>
      </c>
      <c r="F45">
        <v>22262</v>
      </c>
    </row>
    <row r="46" spans="1:6" x14ac:dyDescent="0.2">
      <c r="A46" t="s">
        <v>27</v>
      </c>
      <c r="B46">
        <v>13404</v>
      </c>
      <c r="C46">
        <v>10.113999999999999</v>
      </c>
      <c r="D46">
        <v>5.7519999999999998</v>
      </c>
      <c r="E46">
        <v>1.9730000000000001E-2</v>
      </c>
      <c r="F46">
        <v>21573</v>
      </c>
    </row>
    <row r="47" spans="1:6" x14ac:dyDescent="0.2">
      <c r="A47" t="s">
        <v>68</v>
      </c>
      <c r="B47">
        <v>21564</v>
      </c>
      <c r="C47">
        <v>0</v>
      </c>
      <c r="D47">
        <v>0.97</v>
      </c>
      <c r="E47">
        <v>2.1800000000000001E-3</v>
      </c>
      <c r="F47">
        <v>0</v>
      </c>
    </row>
    <row r="48" spans="1:6" x14ac:dyDescent="0.2">
      <c r="A48" t="s">
        <v>69</v>
      </c>
      <c r="B48">
        <v>13269</v>
      </c>
      <c r="C48">
        <v>12.350999999999999</v>
      </c>
      <c r="D48">
        <v>12.124000000000001</v>
      </c>
      <c r="E48">
        <v>3.2039999999999999E-2</v>
      </c>
      <c r="F48">
        <v>5486</v>
      </c>
    </row>
    <row r="49" spans="1:6" x14ac:dyDescent="0.2">
      <c r="A49" t="s">
        <v>28</v>
      </c>
      <c r="B49">
        <v>10599</v>
      </c>
      <c r="C49">
        <v>8.927999999999999</v>
      </c>
      <c r="D49">
        <v>6.7329999999999997</v>
      </c>
      <c r="E49">
        <v>3.7440000000000001E-2</v>
      </c>
      <c r="F49">
        <v>25654</v>
      </c>
    </row>
    <row r="50" spans="1:6" x14ac:dyDescent="0.2">
      <c r="A50" t="s">
        <v>29</v>
      </c>
      <c r="B50">
        <v>6618</v>
      </c>
      <c r="C50">
        <v>120.364</v>
      </c>
      <c r="D50">
        <v>42.773000000000003</v>
      </c>
      <c r="E50">
        <v>0.19116</v>
      </c>
      <c r="F50">
        <v>44810</v>
      </c>
    </row>
    <row r="51" spans="1:6" x14ac:dyDescent="0.2">
      <c r="A51" t="s">
        <v>30</v>
      </c>
      <c r="B51">
        <v>12066</v>
      </c>
      <c r="C51">
        <v>8.0040000000000013</v>
      </c>
      <c r="D51">
        <v>2.7809999999999997</v>
      </c>
      <c r="E51">
        <v>9.3399999999999993E-3</v>
      </c>
      <c r="F51">
        <v>16951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61E0-18D3-6B40-B7B3-35181D042658}">
  <dimension ref="A1:F44"/>
  <sheetViews>
    <sheetView workbookViewId="0">
      <selection activeCell="F1" sqref="F1:F65536"/>
    </sheetView>
  </sheetViews>
  <sheetFormatPr baseColWidth="10" defaultRowHeight="15" x14ac:dyDescent="0.2"/>
  <cols>
    <col min="1" max="1" width="20.5" bestFit="1" customWidth="1"/>
    <col min="2" max="2" width="30.33203125" bestFit="1" customWidth="1"/>
    <col min="3" max="3" width="11.83203125" bestFit="1" customWidth="1"/>
    <col min="4" max="4" width="22.1640625" bestFit="1" customWidth="1"/>
    <col min="5" max="5" width="14.83203125" bestFit="1" customWidth="1"/>
    <col min="6" max="6" width="13.83203125" bestFit="1" customWidth="1"/>
  </cols>
  <sheetData>
    <row r="1" spans="1:6" x14ac:dyDescent="0.2">
      <c r="A1" s="22" t="s">
        <v>0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74</v>
      </c>
    </row>
    <row r="2" spans="1:6" x14ac:dyDescent="0.2">
      <c r="A2" t="s">
        <v>59</v>
      </c>
      <c r="B2">
        <v>482152</v>
      </c>
      <c r="C2" s="23">
        <v>3.4819999999999998</v>
      </c>
      <c r="D2" s="23">
        <v>1.4410000000000001</v>
      </c>
      <c r="E2" s="23">
        <v>7.0600000000000003E-3</v>
      </c>
      <c r="F2" s="23">
        <v>28918</v>
      </c>
    </row>
    <row r="3" spans="1:6" x14ac:dyDescent="0.2">
      <c r="A3" t="s">
        <v>1</v>
      </c>
      <c r="B3">
        <v>194554</v>
      </c>
      <c r="C3" s="23">
        <v>1.6280000000000001</v>
      </c>
      <c r="D3" s="23">
        <v>0.98800000000000021</v>
      </c>
      <c r="E3" s="23">
        <v>2.2599999999999999E-3</v>
      </c>
      <c r="F3" s="23">
        <v>6007</v>
      </c>
    </row>
    <row r="4" spans="1:6" x14ac:dyDescent="0.2">
      <c r="A4" t="s">
        <v>2</v>
      </c>
      <c r="B4">
        <v>206523</v>
      </c>
      <c r="C4" s="23">
        <v>0.94000000000000006</v>
      </c>
      <c r="D4" s="23">
        <v>1.109</v>
      </c>
      <c r="E4" s="23">
        <v>2.1099999999999999E-3</v>
      </c>
      <c r="F4" s="23">
        <v>604</v>
      </c>
    </row>
    <row r="5" spans="1:6" x14ac:dyDescent="0.2">
      <c r="A5" t="s">
        <v>60</v>
      </c>
      <c r="B5">
        <v>4463</v>
      </c>
      <c r="C5" s="23">
        <v>4.766</v>
      </c>
      <c r="D5" s="23">
        <v>1.575</v>
      </c>
      <c r="E5" s="23">
        <v>7.0499999999999998E-3</v>
      </c>
      <c r="F5" s="23">
        <v>11774</v>
      </c>
    </row>
    <row r="6" spans="1:6" x14ac:dyDescent="0.2">
      <c r="A6" t="s">
        <v>3</v>
      </c>
      <c r="B6">
        <v>397780</v>
      </c>
      <c r="C6" s="23">
        <v>2.4009999999999998</v>
      </c>
      <c r="D6" s="23">
        <v>3.8390000000000004</v>
      </c>
      <c r="E6" s="23">
        <v>2.972E-2</v>
      </c>
      <c r="F6" s="23">
        <v>43275</v>
      </c>
    </row>
    <row r="7" spans="1:6" x14ac:dyDescent="0.2">
      <c r="A7" t="s">
        <v>4</v>
      </c>
      <c r="B7">
        <v>332343</v>
      </c>
      <c r="C7" s="23">
        <v>0.64300000000000002</v>
      </c>
      <c r="D7" s="23">
        <v>0.37</v>
      </c>
      <c r="E7" s="23">
        <v>2.5500000000000002E-3</v>
      </c>
      <c r="F7" s="23">
        <v>2027</v>
      </c>
    </row>
    <row r="8" spans="1:6" x14ac:dyDescent="0.2">
      <c r="A8" t="s">
        <v>61</v>
      </c>
      <c r="B8">
        <v>173814</v>
      </c>
      <c r="C8" s="23">
        <v>1.254</v>
      </c>
      <c r="D8" s="23">
        <v>0.98699999999999999</v>
      </c>
      <c r="E8" s="23">
        <v>5.5999999999999995E-4</v>
      </c>
      <c r="F8" s="23">
        <v>0</v>
      </c>
    </row>
    <row r="9" spans="1:6" x14ac:dyDescent="0.2">
      <c r="A9" s="24" t="s">
        <v>75</v>
      </c>
      <c r="B9">
        <f>SUM(totals!B9:B10)</f>
        <v>175740</v>
      </c>
      <c r="C9" s="23">
        <f>(totals!C9*totals!$B9+totals!C10*totals!$B10)/regrouped!$B9</f>
        <v>1.5628168999658589</v>
      </c>
      <c r="D9" s="23">
        <f>(totals!D9*totals!$B9+totals!D10*totals!$B10)/regrouped!$B9</f>
        <v>2.4519751451007172</v>
      </c>
      <c r="E9" s="23">
        <f>(totals!E9*totals!$B9+totals!E10*totals!$B10)/regrouped!$B9</f>
        <v>1.1812298053943324E-2</v>
      </c>
      <c r="F9" s="23">
        <f>(totals!F9*totals!$B9+totals!F10*totals!$B10)/regrouped!$B9</f>
        <v>11995.294673950153</v>
      </c>
    </row>
    <row r="10" spans="1:6" x14ac:dyDescent="0.2">
      <c r="A10" t="s">
        <v>44</v>
      </c>
      <c r="B10">
        <v>42765</v>
      </c>
      <c r="C10" s="23">
        <v>13.620000000000001</v>
      </c>
      <c r="D10" s="23">
        <v>1.6099999999999999</v>
      </c>
      <c r="E10" s="23">
        <v>1.5010000000000001E-2</v>
      </c>
      <c r="F10" s="23">
        <v>18670</v>
      </c>
    </row>
    <row r="11" spans="1:6" x14ac:dyDescent="0.2">
      <c r="A11" t="s">
        <v>5</v>
      </c>
      <c r="B11">
        <v>6026</v>
      </c>
      <c r="C11" s="23">
        <v>6.7379999999999995</v>
      </c>
      <c r="D11" s="23">
        <v>0.89600000000000002</v>
      </c>
      <c r="E11" s="23">
        <v>6.8300000000000001E-3</v>
      </c>
      <c r="F11" s="23">
        <v>24856</v>
      </c>
    </row>
    <row r="12" spans="1:6" x14ac:dyDescent="0.2">
      <c r="A12" t="s">
        <v>6</v>
      </c>
      <c r="B12">
        <v>15296</v>
      </c>
      <c r="C12" s="23">
        <v>5.08</v>
      </c>
      <c r="D12" s="23">
        <v>0.27799999999999986</v>
      </c>
      <c r="E12" s="23">
        <v>8.8000000000000005E-3</v>
      </c>
      <c r="F12" s="23">
        <v>106382</v>
      </c>
    </row>
    <row r="13" spans="1:6" x14ac:dyDescent="0.2">
      <c r="A13" t="s">
        <v>7</v>
      </c>
      <c r="B13">
        <v>11827</v>
      </c>
      <c r="C13" s="23">
        <v>6.9710000000000001</v>
      </c>
      <c r="D13" s="23">
        <v>2.4970000000000003</v>
      </c>
      <c r="E13" s="23">
        <v>1.1169999999999999E-2</v>
      </c>
      <c r="F13" s="23">
        <v>48147</v>
      </c>
    </row>
    <row r="14" spans="1:6" x14ac:dyDescent="0.2">
      <c r="A14" t="s">
        <v>52</v>
      </c>
      <c r="B14">
        <v>33318</v>
      </c>
      <c r="C14" s="23">
        <v>0.59200000000000008</v>
      </c>
      <c r="D14" s="23">
        <v>0.91400000000000003</v>
      </c>
      <c r="E14" s="23">
        <v>9.7000000000000005E-4</v>
      </c>
      <c r="F14" s="23">
        <v>894</v>
      </c>
    </row>
    <row r="15" spans="1:6" x14ac:dyDescent="0.2">
      <c r="A15" t="s">
        <v>53</v>
      </c>
      <c r="B15">
        <v>11853</v>
      </c>
      <c r="C15" s="23">
        <v>3.1539999999999999</v>
      </c>
      <c r="D15" s="23">
        <v>2.871</v>
      </c>
      <c r="E15" s="23">
        <v>5.5300000000000002E-3</v>
      </c>
      <c r="F15" s="23">
        <v>4785</v>
      </c>
    </row>
    <row r="16" spans="1:6" x14ac:dyDescent="0.2">
      <c r="A16" s="24" t="s">
        <v>76</v>
      </c>
      <c r="B16">
        <f>SUM(totals!B17:B21) + totals!B46</f>
        <v>77105</v>
      </c>
      <c r="C16" s="23">
        <f>(totals!C17*totals!$B17+totals!C18*totals!$B18+totals!C19*totals!$B19+totals!C20*totals!$B20+totals!C21*totals!$B21+totals!C46*totals!$B46)/regrouped!$B16</f>
        <v>10.113422787108487</v>
      </c>
      <c r="D16" s="23">
        <f>(totals!D17*totals!$B17+totals!D18*totals!$B18+totals!D19*totals!$B19+totals!D20*totals!$B20+totals!D21*totals!$B21+totals!D46*totals!$B46)/regrouped!$B16</f>
        <v>5.7518206731080994</v>
      </c>
      <c r="E16" s="23">
        <f>(totals!E17*totals!$B17+totals!E18*totals!$B18+totals!E19*totals!$B19+totals!E20*totals!$B20+totals!E21*totals!$B21+totals!E46*totals!$B46)/regrouped!$B16</f>
        <v>1.9732383892095192E-2</v>
      </c>
      <c r="F16" s="23">
        <f>(totals!F17*totals!$B17+totals!F18*totals!$B18+totals!F19*totals!$B19+totals!F20*totals!$B20+totals!F21*totals!$B21+totals!F46*totals!$B46)/regrouped!$B16</f>
        <v>21572.249037027432</v>
      </c>
    </row>
    <row r="17" spans="1:6" x14ac:dyDescent="0.2">
      <c r="A17" t="s">
        <v>8</v>
      </c>
      <c r="B17">
        <v>148957</v>
      </c>
      <c r="C17" s="23">
        <v>0.51</v>
      </c>
      <c r="D17" s="23">
        <v>1.427</v>
      </c>
      <c r="E17" s="23">
        <v>4.81E-3</v>
      </c>
      <c r="F17" s="23">
        <v>4013</v>
      </c>
    </row>
    <row r="18" spans="1:6" x14ac:dyDescent="0.2">
      <c r="A18" t="s">
        <v>62</v>
      </c>
      <c r="B18">
        <v>77927</v>
      </c>
      <c r="C18" s="23">
        <v>0.28500000000000003</v>
      </c>
      <c r="D18" s="23">
        <v>0.39499999999999996</v>
      </c>
      <c r="E18" s="23">
        <v>2.3E-3</v>
      </c>
      <c r="F18" s="23">
        <v>746</v>
      </c>
    </row>
    <row r="19" spans="1:6" x14ac:dyDescent="0.2">
      <c r="A19" t="s">
        <v>9</v>
      </c>
      <c r="B19">
        <v>35154</v>
      </c>
      <c r="C19" s="23">
        <v>0.26300000000000001</v>
      </c>
      <c r="D19" s="23">
        <v>0.36499999999999999</v>
      </c>
      <c r="E19" s="23">
        <v>1.32E-3</v>
      </c>
      <c r="F19" s="23">
        <v>776</v>
      </c>
    </row>
    <row r="20" spans="1:6" x14ac:dyDescent="0.2">
      <c r="A20" t="s">
        <v>47</v>
      </c>
      <c r="B20">
        <v>77045</v>
      </c>
      <c r="C20" s="23">
        <v>0.45199999999999996</v>
      </c>
      <c r="D20" s="23">
        <v>0.437</v>
      </c>
      <c r="E20" s="23">
        <v>4.1399999999999996E-3</v>
      </c>
      <c r="F20" s="23">
        <v>6878</v>
      </c>
    </row>
    <row r="21" spans="1:6" x14ac:dyDescent="0.2">
      <c r="A21" t="s">
        <v>10</v>
      </c>
      <c r="B21">
        <v>654375</v>
      </c>
      <c r="C21" s="23">
        <v>0.31</v>
      </c>
      <c r="D21" s="23">
        <v>0.45500000000000002</v>
      </c>
      <c r="E21" s="23">
        <v>1.8600000000000001E-3</v>
      </c>
      <c r="F21" s="23">
        <v>3958</v>
      </c>
    </row>
    <row r="22" spans="1:6" x14ac:dyDescent="0.2">
      <c r="A22" t="s">
        <v>11</v>
      </c>
      <c r="B22">
        <v>127923</v>
      </c>
      <c r="C22" s="23">
        <v>0.67500000000000004</v>
      </c>
      <c r="D22" s="23">
        <v>0.317</v>
      </c>
      <c r="E22" s="23">
        <v>1.57E-3</v>
      </c>
      <c r="F22" s="23">
        <v>3678</v>
      </c>
    </row>
    <row r="23" spans="1:6" x14ac:dyDescent="0.2">
      <c r="A23" t="s">
        <v>12</v>
      </c>
      <c r="B23">
        <v>128971</v>
      </c>
      <c r="C23" s="23">
        <v>1.23</v>
      </c>
      <c r="D23" s="23">
        <v>0.67800000000000005</v>
      </c>
      <c r="E23" s="23">
        <v>2.2499999999999998E-3</v>
      </c>
      <c r="F23" s="23">
        <v>491</v>
      </c>
    </row>
    <row r="24" spans="1:6" x14ac:dyDescent="0.2">
      <c r="A24" t="s">
        <v>13</v>
      </c>
      <c r="B24">
        <v>75781</v>
      </c>
      <c r="C24" s="23">
        <v>0.49300000000000005</v>
      </c>
      <c r="D24" s="23">
        <v>0.35700000000000004</v>
      </c>
      <c r="E24" s="23">
        <v>1.15E-3</v>
      </c>
      <c r="F24" s="23">
        <v>10007</v>
      </c>
    </row>
    <row r="25" spans="1:6" x14ac:dyDescent="0.2">
      <c r="A25" t="s">
        <v>63</v>
      </c>
      <c r="B25">
        <v>67079</v>
      </c>
      <c r="C25" s="23">
        <v>1.6400000000000001</v>
      </c>
      <c r="D25" s="23">
        <v>1.214</v>
      </c>
      <c r="E25" s="23">
        <v>5.3099999999999996E-3</v>
      </c>
      <c r="F25" s="23">
        <v>15180</v>
      </c>
    </row>
    <row r="26" spans="1:6" x14ac:dyDescent="0.2">
      <c r="A26" t="s">
        <v>64</v>
      </c>
      <c r="B26">
        <v>26013</v>
      </c>
      <c r="C26" s="23">
        <v>1.5529999999999999</v>
      </c>
      <c r="D26" s="23">
        <v>1.5849999999999997</v>
      </c>
      <c r="E26" s="23">
        <v>4.0200000000000001E-3</v>
      </c>
      <c r="F26" s="23">
        <v>1003</v>
      </c>
    </row>
    <row r="27" spans="1:6" x14ac:dyDescent="0.2">
      <c r="A27" t="s">
        <v>14</v>
      </c>
      <c r="B27">
        <v>210650</v>
      </c>
      <c r="C27" s="23">
        <v>0.61</v>
      </c>
      <c r="D27" s="23">
        <v>0.75</v>
      </c>
      <c r="E27" s="23">
        <v>1.7899999999999999E-3</v>
      </c>
      <c r="F27" s="23">
        <v>7771</v>
      </c>
    </row>
    <row r="28" spans="1:6" x14ac:dyDescent="0.2">
      <c r="A28" t="s">
        <v>15</v>
      </c>
      <c r="B28">
        <v>7778</v>
      </c>
      <c r="C28" s="23">
        <v>11.721</v>
      </c>
      <c r="D28" s="23">
        <v>16.477</v>
      </c>
      <c r="E28" s="23">
        <v>6.0199999999999997E-2</v>
      </c>
      <c r="F28" s="23">
        <v>182</v>
      </c>
    </row>
    <row r="29" spans="1:6" x14ac:dyDescent="0.2">
      <c r="A29" t="s">
        <v>65</v>
      </c>
      <c r="B29">
        <v>4416</v>
      </c>
      <c r="C29" s="23">
        <v>23.693000000000001</v>
      </c>
      <c r="D29" s="23">
        <v>18.680999999999997</v>
      </c>
      <c r="E29" s="23">
        <v>3.0609999999999998E-2</v>
      </c>
      <c r="F29" s="23">
        <v>1097</v>
      </c>
    </row>
    <row r="30" spans="1:6" x14ac:dyDescent="0.2">
      <c r="A30" s="24" t="s">
        <v>77</v>
      </c>
      <c r="B30">
        <f>SUM(totals!B35:B36)</f>
        <v>71996</v>
      </c>
      <c r="C30" s="23">
        <f>(totals!C35*totals!$B35+totals!C36*totals!$B36)/regrouped!$B30</f>
        <v>120.36398808267127</v>
      </c>
      <c r="D30" s="23">
        <f>(totals!D35*totals!$B35+totals!D36*totals!$B36)/regrouped!$B30</f>
        <v>42.771967817656531</v>
      </c>
      <c r="E30" s="23">
        <f>(totals!E35*totals!$B35+totals!E36*totals!$B36)/regrouped!$B30</f>
        <v>0.19115809378298793</v>
      </c>
      <c r="F30" s="23">
        <f>(totals!F35*totals!$B35+totals!F36*totals!$B36)/regrouped!$B30</f>
        <v>44809.880382243457</v>
      </c>
    </row>
    <row r="31" spans="1:6" x14ac:dyDescent="0.2">
      <c r="A31" t="s">
        <v>48</v>
      </c>
      <c r="B31">
        <v>14195</v>
      </c>
      <c r="C31" s="23">
        <v>223.30600000000001</v>
      </c>
      <c r="D31" s="23">
        <v>24.414999999999999</v>
      </c>
      <c r="E31" s="23">
        <v>5.9650000000000002E-2</v>
      </c>
      <c r="F31" s="23">
        <v>85193</v>
      </c>
    </row>
    <row r="32" spans="1:6" x14ac:dyDescent="0.2">
      <c r="A32" t="s">
        <v>16</v>
      </c>
      <c r="B32">
        <v>112892</v>
      </c>
      <c r="C32" s="23">
        <v>10.156000000000001</v>
      </c>
      <c r="D32" s="23">
        <v>7.282</v>
      </c>
      <c r="E32" s="23">
        <v>4.4159999999999998E-2</v>
      </c>
      <c r="F32" s="23">
        <v>40028</v>
      </c>
    </row>
    <row r="33" spans="1:6" x14ac:dyDescent="0.2">
      <c r="A33" t="s">
        <v>17</v>
      </c>
      <c r="B33">
        <v>96439</v>
      </c>
      <c r="C33" s="23">
        <v>7.49</v>
      </c>
      <c r="D33" s="23">
        <v>6.0919999999999987</v>
      </c>
      <c r="E33" s="23">
        <v>2.9569999999999999E-2</v>
      </c>
      <c r="F33" s="23">
        <v>8828</v>
      </c>
    </row>
    <row r="34" spans="1:6" x14ac:dyDescent="0.2">
      <c r="A34" t="s">
        <v>18</v>
      </c>
      <c r="B34">
        <v>470267</v>
      </c>
      <c r="C34" s="23">
        <v>8.0040000000000013</v>
      </c>
      <c r="D34" s="23">
        <v>2.7809999999999997</v>
      </c>
      <c r="E34" s="23">
        <v>9.3399999999999993E-3</v>
      </c>
      <c r="F34" s="23">
        <v>16951</v>
      </c>
    </row>
    <row r="35" spans="1:6" x14ac:dyDescent="0.2">
      <c r="A35" t="s">
        <v>19</v>
      </c>
      <c r="B35">
        <v>21191</v>
      </c>
      <c r="C35" s="23">
        <v>80.641999999999996</v>
      </c>
      <c r="D35" s="23">
        <v>21.240000000000002</v>
      </c>
      <c r="E35" s="23">
        <v>8.8749999999999996E-2</v>
      </c>
      <c r="F35" s="23">
        <v>155464</v>
      </c>
    </row>
    <row r="36" spans="1:6" x14ac:dyDescent="0.2">
      <c r="A36" t="s">
        <v>20</v>
      </c>
      <c r="B36">
        <v>63489</v>
      </c>
      <c r="C36" s="23">
        <v>6.0490000000000004</v>
      </c>
      <c r="D36" s="23">
        <v>4.5069999999999988</v>
      </c>
      <c r="E36" s="23">
        <v>2.102E-2</v>
      </c>
      <c r="F36" s="23">
        <v>17315</v>
      </c>
    </row>
    <row r="37" spans="1:6" x14ac:dyDescent="0.2">
      <c r="A37" t="s">
        <v>21</v>
      </c>
      <c r="B37">
        <v>45223</v>
      </c>
      <c r="C37" s="23">
        <v>3.3780000000000001</v>
      </c>
      <c r="D37" s="23">
        <v>5.1829999999999989</v>
      </c>
      <c r="E37" s="23">
        <v>9.2069999999999999E-2</v>
      </c>
      <c r="F37" s="23">
        <v>13691</v>
      </c>
    </row>
    <row r="38" spans="1:6" x14ac:dyDescent="0.2">
      <c r="A38" t="s">
        <v>22</v>
      </c>
      <c r="B38">
        <v>10633</v>
      </c>
      <c r="C38" s="23">
        <v>1.429</v>
      </c>
      <c r="D38" s="23">
        <v>11.853999999999997</v>
      </c>
      <c r="E38" s="23">
        <v>9.7869999999999999E-2</v>
      </c>
      <c r="F38" s="23">
        <v>50685</v>
      </c>
    </row>
    <row r="39" spans="1:6" x14ac:dyDescent="0.2">
      <c r="A39" t="s">
        <v>67</v>
      </c>
      <c r="B39">
        <v>97562</v>
      </c>
      <c r="C39" s="23">
        <v>2.9609999999999999</v>
      </c>
      <c r="D39" s="23">
        <v>1.3129999999999999</v>
      </c>
      <c r="E39" s="23">
        <v>5.6899999999999997E-3</v>
      </c>
      <c r="F39" s="23">
        <v>22262</v>
      </c>
    </row>
    <row r="40" spans="1:6" x14ac:dyDescent="0.2">
      <c r="A40" t="s">
        <v>68</v>
      </c>
      <c r="B40">
        <v>21564</v>
      </c>
      <c r="C40" s="23">
        <v>0</v>
      </c>
      <c r="D40" s="23">
        <v>0.97</v>
      </c>
      <c r="E40" s="23">
        <v>2.1800000000000001E-3</v>
      </c>
      <c r="F40" s="23">
        <v>0</v>
      </c>
    </row>
    <row r="41" spans="1:6" x14ac:dyDescent="0.2">
      <c r="A41" t="s">
        <v>69</v>
      </c>
      <c r="B41">
        <v>13269</v>
      </c>
      <c r="C41" s="23">
        <v>12.350999999999999</v>
      </c>
      <c r="D41" s="23">
        <v>12.124000000000001</v>
      </c>
      <c r="E41" s="23">
        <v>3.2039999999999999E-2</v>
      </c>
      <c r="F41" s="23">
        <v>5486</v>
      </c>
    </row>
    <row r="42" spans="1:6" x14ac:dyDescent="0.2">
      <c r="A42" t="s">
        <v>28</v>
      </c>
      <c r="B42">
        <v>10599</v>
      </c>
      <c r="C42" s="23">
        <v>8.927999999999999</v>
      </c>
      <c r="D42" s="23">
        <v>6.7329999999999997</v>
      </c>
      <c r="E42" s="23">
        <v>3.7440000000000001E-2</v>
      </c>
      <c r="F42" s="23">
        <v>25654</v>
      </c>
    </row>
    <row r="43" spans="1:6" x14ac:dyDescent="0.2">
      <c r="A43" t="s">
        <v>29</v>
      </c>
      <c r="B43">
        <v>6618</v>
      </c>
      <c r="C43" s="23">
        <v>120.364</v>
      </c>
      <c r="D43" s="23">
        <v>42.773000000000003</v>
      </c>
      <c r="E43" s="23">
        <v>0.19116</v>
      </c>
      <c r="F43" s="23">
        <v>44810</v>
      </c>
    </row>
    <row r="44" spans="1:6" x14ac:dyDescent="0.2">
      <c r="A44" t="s">
        <v>30</v>
      </c>
      <c r="B44">
        <v>12066</v>
      </c>
      <c r="C44" s="23">
        <v>8.0040000000000013</v>
      </c>
      <c r="D44" s="23">
        <v>2.7809999999999997</v>
      </c>
      <c r="E44" s="23">
        <v>9.3399999999999993E-3</v>
      </c>
      <c r="F44" s="23">
        <v>16951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FD91-06F0-584E-9714-197EE2AD443C}">
  <dimension ref="A1:H8"/>
  <sheetViews>
    <sheetView workbookViewId="0">
      <selection activeCell="C8" sqref="C8"/>
    </sheetView>
  </sheetViews>
  <sheetFormatPr baseColWidth="10" defaultRowHeight="15" x14ac:dyDescent="0.2"/>
  <cols>
    <col min="1" max="1" width="16.33203125" bestFit="1" customWidth="1"/>
    <col min="2" max="2" width="23.33203125" bestFit="1" customWidth="1"/>
    <col min="3" max="3" width="16.5" bestFit="1" customWidth="1"/>
    <col min="4" max="4" width="32.5" bestFit="1" customWidth="1"/>
    <col min="5" max="6" width="32.5" customWidth="1"/>
    <col min="7" max="7" width="46.6640625" bestFit="1" customWidth="1"/>
  </cols>
  <sheetData>
    <row r="1" spans="1:8" x14ac:dyDescent="0.2">
      <c r="A1" t="s">
        <v>227</v>
      </c>
      <c r="B1" t="s">
        <v>229</v>
      </c>
      <c r="C1" t="s">
        <v>237</v>
      </c>
      <c r="D1" t="s">
        <v>234</v>
      </c>
      <c r="E1" t="s">
        <v>236</v>
      </c>
      <c r="F1" t="s">
        <v>240</v>
      </c>
      <c r="G1" t="s">
        <v>230</v>
      </c>
      <c r="H1" t="s">
        <v>231</v>
      </c>
    </row>
    <row r="2" spans="1:8" x14ac:dyDescent="0.2">
      <c r="A2" t="s">
        <v>228</v>
      </c>
      <c r="B2" t="s">
        <v>232</v>
      </c>
      <c r="C2">
        <f>(0.521 + 0.931 + 1.55)/3</f>
        <v>1.0006666666666666</v>
      </c>
      <c r="D2">
        <f>(2.34 + 2.34*0.087 + 2.34*0.297)/3</f>
        <v>1.0795199999999998</v>
      </c>
      <c r="E2">
        <f>(1.71 + 1.71*0.119 + 1.71*0.079)/3</f>
        <v>0.68285999999999991</v>
      </c>
      <c r="G2" t="s">
        <v>233</v>
      </c>
    </row>
    <row r="3" spans="1:8" x14ac:dyDescent="0.2">
      <c r="A3" t="s">
        <v>238</v>
      </c>
      <c r="B3" t="s">
        <v>232</v>
      </c>
      <c r="F3">
        <f>1/6.55</f>
        <v>0.15267175572519084</v>
      </c>
      <c r="G3" t="s">
        <v>239</v>
      </c>
    </row>
    <row r="7" spans="1:8" x14ac:dyDescent="0.2">
      <c r="A7" t="s">
        <v>241</v>
      </c>
      <c r="C7" t="s">
        <v>243</v>
      </c>
      <c r="D7" t="s">
        <v>237</v>
      </c>
      <c r="E7" t="s">
        <v>242</v>
      </c>
      <c r="F7" t="s">
        <v>235</v>
      </c>
    </row>
    <row r="8" spans="1:8" x14ac:dyDescent="0.2">
      <c r="C8">
        <f>1/6.55*0.0929/0.4536</f>
        <v>3.1268091064528721E-2</v>
      </c>
      <c r="D8">
        <f>(0.521 + 0.931 + 1.55)/3</f>
        <v>1.0006666666666666</v>
      </c>
      <c r="E8">
        <f>(2.34 + 2.34*0.087 + 2.34*0.297)/3/1000</f>
        <v>1.0795199999999998E-3</v>
      </c>
      <c r="F8">
        <f>(1.71 + 1.71*0.119 + 1.71*0.079)/3*1000</f>
        <v>682.8599999999999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A514-862B-FC4E-884D-6B67C812864E}">
  <dimension ref="A1:F45"/>
  <sheetViews>
    <sheetView workbookViewId="0">
      <selection activeCell="C31" sqref="C31"/>
    </sheetView>
  </sheetViews>
  <sheetFormatPr baseColWidth="10" defaultRowHeight="15" x14ac:dyDescent="0.2"/>
  <cols>
    <col min="1" max="1" width="20.5" bestFit="1" customWidth="1"/>
    <col min="2" max="2" width="30.33203125" bestFit="1" customWidth="1"/>
    <col min="3" max="3" width="11.83203125" bestFit="1" customWidth="1"/>
    <col min="4" max="4" width="22.1640625" bestFit="1" customWidth="1"/>
    <col min="5" max="5" width="14.83203125" bestFit="1" customWidth="1"/>
    <col min="6" max="6" width="13.83203125" bestFit="1" customWidth="1"/>
  </cols>
  <sheetData>
    <row r="1" spans="1:6" x14ac:dyDescent="0.2">
      <c r="A1" s="22" t="s">
        <v>0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74</v>
      </c>
    </row>
    <row r="2" spans="1:6" x14ac:dyDescent="0.2">
      <c r="A2" t="s">
        <v>59</v>
      </c>
      <c r="B2">
        <v>482152</v>
      </c>
      <c r="C2" s="23">
        <v>3.4819999999999998</v>
      </c>
      <c r="D2" s="23">
        <v>1.4410000000000001</v>
      </c>
      <c r="E2" s="23">
        <v>7.0600000000000003E-3</v>
      </c>
      <c r="F2" s="23">
        <v>28918</v>
      </c>
    </row>
    <row r="3" spans="1:6" x14ac:dyDescent="0.2">
      <c r="A3" t="s">
        <v>1</v>
      </c>
      <c r="B3">
        <v>194554</v>
      </c>
      <c r="C3" s="23">
        <v>1.6280000000000001</v>
      </c>
      <c r="D3" s="23">
        <v>0.98800000000000021</v>
      </c>
      <c r="E3" s="23">
        <v>2.2599999999999999E-3</v>
      </c>
      <c r="F3" s="23">
        <v>6007</v>
      </c>
    </row>
    <row r="4" spans="1:6" x14ac:dyDescent="0.2">
      <c r="A4" t="s">
        <v>2</v>
      </c>
      <c r="B4">
        <v>206523</v>
      </c>
      <c r="C4" s="23">
        <v>0.94000000000000006</v>
      </c>
      <c r="D4" s="23">
        <v>1.109</v>
      </c>
      <c r="E4" s="23">
        <v>2.1099999999999999E-3</v>
      </c>
      <c r="F4" s="23">
        <v>604</v>
      </c>
    </row>
    <row r="5" spans="1:6" x14ac:dyDescent="0.2">
      <c r="A5" t="s">
        <v>60</v>
      </c>
      <c r="B5">
        <v>4463</v>
      </c>
      <c r="C5" s="23">
        <v>4.766</v>
      </c>
      <c r="D5" s="23">
        <v>1.575</v>
      </c>
      <c r="E5" s="23">
        <v>7.0499999999999998E-3</v>
      </c>
      <c r="F5" s="23">
        <v>11774</v>
      </c>
    </row>
    <row r="6" spans="1:6" x14ac:dyDescent="0.2">
      <c r="A6" t="s">
        <v>3</v>
      </c>
      <c r="B6">
        <v>397780</v>
      </c>
      <c r="C6" s="23">
        <v>2.4009999999999998</v>
      </c>
      <c r="D6" s="23">
        <v>3.8390000000000004</v>
      </c>
      <c r="E6" s="23">
        <v>2.972E-2</v>
      </c>
      <c r="F6" s="23">
        <v>43275</v>
      </c>
    </row>
    <row r="7" spans="1:6" x14ac:dyDescent="0.2">
      <c r="A7" s="25" t="s">
        <v>4</v>
      </c>
      <c r="B7">
        <v>332343</v>
      </c>
      <c r="C7" s="23">
        <v>0.64300000000000002</v>
      </c>
      <c r="D7" s="23">
        <v>0.37</v>
      </c>
      <c r="E7" s="23">
        <v>2.5500000000000002E-3</v>
      </c>
      <c r="F7" s="23">
        <v>2027</v>
      </c>
    </row>
    <row r="8" spans="1:6" x14ac:dyDescent="0.2">
      <c r="A8" s="25" t="s">
        <v>61</v>
      </c>
      <c r="B8">
        <v>173814</v>
      </c>
      <c r="C8" s="23">
        <v>1.254</v>
      </c>
      <c r="D8" s="23">
        <v>0.98699999999999999</v>
      </c>
      <c r="E8" s="23">
        <v>5.5999999999999995E-4</v>
      </c>
      <c r="F8" s="23">
        <v>0</v>
      </c>
    </row>
    <row r="9" spans="1:6" x14ac:dyDescent="0.2">
      <c r="A9" s="25" t="s">
        <v>75</v>
      </c>
      <c r="B9">
        <f>SUM(totals!B9:B10)</f>
        <v>175740</v>
      </c>
      <c r="C9" s="23">
        <f>(totals!C9*totals!$B9+totals!C10*totals!$B10)/'augmented w mushrooms'!$B9</f>
        <v>1.5628168999658589</v>
      </c>
      <c r="D9" s="23">
        <f>(totals!D9*totals!$B9+totals!D10*totals!$B10)/'augmented w mushrooms'!$B9</f>
        <v>2.4519751451007172</v>
      </c>
      <c r="E9" s="23">
        <f>(totals!E9*totals!$B9+totals!E10*totals!$B10)/'augmented w mushrooms'!$B9</f>
        <v>1.1812298053943324E-2</v>
      </c>
      <c r="F9" s="23">
        <f>(totals!F9*totals!$B9+totals!F10*totals!$B10)/'augmented w mushrooms'!$B9</f>
        <v>11995.294673950153</v>
      </c>
    </row>
    <row r="10" spans="1:6" x14ac:dyDescent="0.2">
      <c r="A10" s="25" t="s">
        <v>44</v>
      </c>
      <c r="B10">
        <v>42765</v>
      </c>
      <c r="C10" s="23">
        <v>13.620000000000001</v>
      </c>
      <c r="D10" s="23">
        <v>1.6099999999999999</v>
      </c>
      <c r="E10" s="23">
        <v>1.5010000000000001E-2</v>
      </c>
      <c r="F10" s="23">
        <v>18670</v>
      </c>
    </row>
    <row r="11" spans="1:6" x14ac:dyDescent="0.2">
      <c r="A11" s="25" t="s">
        <v>5</v>
      </c>
      <c r="B11">
        <v>6026</v>
      </c>
      <c r="C11" s="23">
        <v>6.7379999999999995</v>
      </c>
      <c r="D11" s="23">
        <v>0.89600000000000002</v>
      </c>
      <c r="E11" s="23">
        <v>6.8300000000000001E-3</v>
      </c>
      <c r="F11" s="23">
        <v>24856</v>
      </c>
    </row>
    <row r="12" spans="1:6" x14ac:dyDescent="0.2">
      <c r="A12" s="25" t="s">
        <v>6</v>
      </c>
      <c r="B12">
        <v>15296</v>
      </c>
      <c r="C12" s="23">
        <v>5.08</v>
      </c>
      <c r="D12" s="23">
        <v>0.27799999999999986</v>
      </c>
      <c r="E12" s="23">
        <v>8.8000000000000005E-3</v>
      </c>
      <c r="F12" s="23">
        <v>106382</v>
      </c>
    </row>
    <row r="13" spans="1:6" x14ac:dyDescent="0.2">
      <c r="A13" s="25" t="s">
        <v>7</v>
      </c>
      <c r="B13">
        <v>11827</v>
      </c>
      <c r="C13" s="23">
        <v>6.9710000000000001</v>
      </c>
      <c r="D13" s="23">
        <v>2.4970000000000003</v>
      </c>
      <c r="E13" s="23">
        <v>1.1169999999999999E-2</v>
      </c>
      <c r="F13" s="23">
        <v>48147</v>
      </c>
    </row>
    <row r="14" spans="1:6" x14ac:dyDescent="0.2">
      <c r="A14" s="25" t="s">
        <v>52</v>
      </c>
      <c r="B14">
        <v>33318</v>
      </c>
      <c r="C14" s="23">
        <v>0.59200000000000008</v>
      </c>
      <c r="D14" s="23">
        <v>0.91400000000000003</v>
      </c>
      <c r="E14" s="23">
        <v>9.7000000000000005E-4</v>
      </c>
      <c r="F14" s="23">
        <v>894</v>
      </c>
    </row>
    <row r="15" spans="1:6" x14ac:dyDescent="0.2">
      <c r="A15" s="25" t="s">
        <v>53</v>
      </c>
      <c r="B15">
        <v>11853</v>
      </c>
      <c r="C15" s="23">
        <v>3.1539999999999999</v>
      </c>
      <c r="D15" s="23">
        <v>2.871</v>
      </c>
      <c r="E15" s="23">
        <v>5.5300000000000002E-3</v>
      </c>
      <c r="F15" s="23">
        <v>4785</v>
      </c>
    </row>
    <row r="16" spans="1:6" x14ac:dyDescent="0.2">
      <c r="A16" s="25" t="s">
        <v>76</v>
      </c>
      <c r="B16">
        <f>SUM(totals!B17:B21) + totals!B46</f>
        <v>77105</v>
      </c>
      <c r="C16" s="23">
        <f>(totals!C17*totals!$B17+totals!C18*totals!$B18+totals!C19*totals!$B19+totals!C20*totals!$B20+totals!C21*totals!$B21+totals!C46*totals!$B46)/'augmented w mushrooms'!$B16</f>
        <v>10.113422787108487</v>
      </c>
      <c r="D16" s="23">
        <f>(totals!D17*totals!$B17+totals!D18*totals!$B18+totals!D19*totals!$B19+totals!D20*totals!$B20+totals!D21*totals!$B21+totals!D46*totals!$B46)/'augmented w mushrooms'!$B16</f>
        <v>5.7518206731080994</v>
      </c>
      <c r="E16" s="23">
        <f>(totals!E17*totals!$B17+totals!E18*totals!$B18+totals!E19*totals!$B19+totals!E20*totals!$B20+totals!E21*totals!$B21+totals!E46*totals!$B46)/'augmented w mushrooms'!$B16</f>
        <v>1.9732383892095192E-2</v>
      </c>
      <c r="F16" s="23">
        <f>(totals!F17*totals!$B17+totals!F18*totals!$B18+totals!F19*totals!$B19+totals!F20*totals!$B20+totals!F21*totals!$B21+totals!F46*totals!$B46)/'augmented w mushrooms'!$B16</f>
        <v>21572.249037027432</v>
      </c>
    </row>
    <row r="17" spans="1:6" x14ac:dyDescent="0.2">
      <c r="A17" s="25" t="s">
        <v>8</v>
      </c>
      <c r="B17">
        <v>148957</v>
      </c>
      <c r="C17" s="23">
        <v>0.51</v>
      </c>
      <c r="D17" s="23">
        <v>1.427</v>
      </c>
      <c r="E17" s="23">
        <v>4.81E-3</v>
      </c>
      <c r="F17" s="23">
        <v>4013</v>
      </c>
    </row>
    <row r="18" spans="1:6" x14ac:dyDescent="0.2">
      <c r="A18" s="25" t="s">
        <v>62</v>
      </c>
      <c r="B18">
        <v>77927</v>
      </c>
      <c r="C18" s="23">
        <v>0.28500000000000003</v>
      </c>
      <c r="D18" s="23">
        <v>0.39499999999999996</v>
      </c>
      <c r="E18" s="23">
        <v>2.3E-3</v>
      </c>
      <c r="F18" s="23">
        <v>746</v>
      </c>
    </row>
    <row r="19" spans="1:6" x14ac:dyDescent="0.2">
      <c r="A19" s="25" t="s">
        <v>9</v>
      </c>
      <c r="B19">
        <v>35154</v>
      </c>
      <c r="C19" s="23">
        <v>0.26300000000000001</v>
      </c>
      <c r="D19" s="23">
        <v>0.36499999999999999</v>
      </c>
      <c r="E19" s="23">
        <v>1.32E-3</v>
      </c>
      <c r="F19" s="23">
        <v>776</v>
      </c>
    </row>
    <row r="20" spans="1:6" x14ac:dyDescent="0.2">
      <c r="A20" s="25" t="s">
        <v>47</v>
      </c>
      <c r="B20">
        <v>77045</v>
      </c>
      <c r="C20" s="23">
        <v>0.45199999999999996</v>
      </c>
      <c r="D20" s="23">
        <v>0.437</v>
      </c>
      <c r="E20" s="23">
        <v>4.1399999999999996E-3</v>
      </c>
      <c r="F20" s="23">
        <v>6878</v>
      </c>
    </row>
    <row r="21" spans="1:6" x14ac:dyDescent="0.2">
      <c r="A21" s="25" t="s">
        <v>10</v>
      </c>
      <c r="B21">
        <v>654375</v>
      </c>
      <c r="C21" s="23">
        <v>0.31</v>
      </c>
      <c r="D21" s="23">
        <v>0.45500000000000002</v>
      </c>
      <c r="E21" s="23">
        <v>1.8600000000000001E-3</v>
      </c>
      <c r="F21" s="23">
        <v>3958</v>
      </c>
    </row>
    <row r="22" spans="1:6" x14ac:dyDescent="0.2">
      <c r="A22" s="25" t="s">
        <v>11</v>
      </c>
      <c r="B22">
        <v>127923</v>
      </c>
      <c r="C22" s="23">
        <v>0.67500000000000004</v>
      </c>
      <c r="D22" s="23">
        <v>0.317</v>
      </c>
      <c r="E22" s="23">
        <v>1.57E-3</v>
      </c>
      <c r="F22" s="23">
        <v>3678</v>
      </c>
    </row>
    <row r="23" spans="1:6" x14ac:dyDescent="0.2">
      <c r="A23" s="25" t="s">
        <v>12</v>
      </c>
      <c r="B23">
        <v>128971</v>
      </c>
      <c r="C23" s="23">
        <v>1.23</v>
      </c>
      <c r="D23" s="23">
        <v>0.67800000000000005</v>
      </c>
      <c r="E23" s="23">
        <v>2.2499999999999998E-3</v>
      </c>
      <c r="F23" s="23">
        <v>491</v>
      </c>
    </row>
    <row r="24" spans="1:6" x14ac:dyDescent="0.2">
      <c r="A24" s="25" t="s">
        <v>13</v>
      </c>
      <c r="B24">
        <v>75781</v>
      </c>
      <c r="C24" s="23">
        <v>0.49300000000000005</v>
      </c>
      <c r="D24" s="23">
        <v>0.35700000000000004</v>
      </c>
      <c r="E24" s="23">
        <v>1.15E-3</v>
      </c>
      <c r="F24" s="23">
        <v>10007</v>
      </c>
    </row>
    <row r="25" spans="1:6" x14ac:dyDescent="0.2">
      <c r="A25" s="25" t="s">
        <v>63</v>
      </c>
      <c r="B25">
        <v>67079</v>
      </c>
      <c r="C25" s="23">
        <v>1.6400000000000001</v>
      </c>
      <c r="D25" s="23">
        <v>1.214</v>
      </c>
      <c r="E25" s="23">
        <v>5.3099999999999996E-3</v>
      </c>
      <c r="F25" s="23">
        <v>15180</v>
      </c>
    </row>
    <row r="26" spans="1:6" x14ac:dyDescent="0.2">
      <c r="A26" s="25" t="s">
        <v>64</v>
      </c>
      <c r="B26">
        <v>26013</v>
      </c>
      <c r="C26" s="23">
        <v>1.5529999999999999</v>
      </c>
      <c r="D26" s="23">
        <v>1.5849999999999997</v>
      </c>
      <c r="E26" s="23">
        <v>4.0200000000000001E-3</v>
      </c>
      <c r="F26" s="23">
        <v>1003</v>
      </c>
    </row>
    <row r="27" spans="1:6" x14ac:dyDescent="0.2">
      <c r="A27" s="25" t="s">
        <v>14</v>
      </c>
      <c r="B27">
        <v>210650</v>
      </c>
      <c r="C27" s="23">
        <v>0.61</v>
      </c>
      <c r="D27" s="23">
        <v>0.75</v>
      </c>
      <c r="E27" s="23">
        <v>1.7899999999999999E-3</v>
      </c>
      <c r="F27" s="23">
        <v>7771</v>
      </c>
    </row>
    <row r="28" spans="1:6" x14ac:dyDescent="0.2">
      <c r="A28" s="25" t="s">
        <v>15</v>
      </c>
      <c r="B28">
        <v>7778</v>
      </c>
      <c r="C28" s="23">
        <v>11.721</v>
      </c>
      <c r="D28" s="23">
        <v>16.477</v>
      </c>
      <c r="E28" s="23">
        <v>6.0199999999999997E-2</v>
      </c>
      <c r="F28" s="23">
        <v>182</v>
      </c>
    </row>
    <row r="29" spans="1:6" x14ac:dyDescent="0.2">
      <c r="A29" s="25" t="s">
        <v>65</v>
      </c>
      <c r="B29">
        <v>4416</v>
      </c>
      <c r="C29" s="23">
        <v>23.693000000000001</v>
      </c>
      <c r="D29" s="23">
        <v>18.680999999999997</v>
      </c>
      <c r="E29" s="23">
        <v>3.0609999999999998E-2</v>
      </c>
      <c r="F29" s="23">
        <v>1097</v>
      </c>
    </row>
    <row r="30" spans="1:6" x14ac:dyDescent="0.2">
      <c r="A30" s="25" t="s">
        <v>77</v>
      </c>
      <c r="B30">
        <f>SUM(totals!B35:B36)</f>
        <v>71996</v>
      </c>
      <c r="C30" s="23">
        <f>(totals!C35*totals!$B35+totals!C36*totals!$B36)/'augmented w mushrooms'!$B30</f>
        <v>120.36398808267127</v>
      </c>
      <c r="D30" s="23">
        <f>(totals!D35*totals!$B35+totals!D36*totals!$B36)/'augmented w mushrooms'!$B30</f>
        <v>42.771967817656531</v>
      </c>
      <c r="E30" s="23">
        <f>(totals!E35*totals!$B35+totals!E36*totals!$B36)/'augmented w mushrooms'!$B30</f>
        <v>0.19115809378298793</v>
      </c>
      <c r="F30" s="23">
        <f>(totals!F35*totals!$B35+totals!F36*totals!$B36)/'augmented w mushrooms'!$B30</f>
        <v>44809.880382243457</v>
      </c>
    </row>
    <row r="31" spans="1:6" x14ac:dyDescent="0.2">
      <c r="A31" s="25" t="s">
        <v>48</v>
      </c>
      <c r="B31">
        <v>14195</v>
      </c>
      <c r="C31" s="23">
        <v>223.30600000000001</v>
      </c>
      <c r="D31" s="23">
        <v>24.414999999999999</v>
      </c>
      <c r="E31" s="23">
        <v>5.9650000000000002E-2</v>
      </c>
      <c r="F31" s="23">
        <v>85193</v>
      </c>
    </row>
    <row r="32" spans="1:6" x14ac:dyDescent="0.2">
      <c r="A32" s="25" t="s">
        <v>16</v>
      </c>
      <c r="B32">
        <v>112892</v>
      </c>
      <c r="C32" s="23">
        <v>10.156000000000001</v>
      </c>
      <c r="D32" s="23">
        <v>7.282</v>
      </c>
      <c r="E32" s="23">
        <v>4.4159999999999998E-2</v>
      </c>
      <c r="F32" s="23">
        <v>40028</v>
      </c>
    </row>
    <row r="33" spans="1:6" x14ac:dyDescent="0.2">
      <c r="A33" s="25" t="s">
        <v>17</v>
      </c>
      <c r="B33">
        <v>96439</v>
      </c>
      <c r="C33" s="23">
        <v>7.49</v>
      </c>
      <c r="D33" s="23">
        <v>6.0919999999999987</v>
      </c>
      <c r="E33" s="23">
        <v>2.9569999999999999E-2</v>
      </c>
      <c r="F33" s="23">
        <v>8828</v>
      </c>
    </row>
    <row r="34" spans="1:6" x14ac:dyDescent="0.2">
      <c r="A34" s="25" t="s">
        <v>18</v>
      </c>
      <c r="B34">
        <v>470267</v>
      </c>
      <c r="C34" s="23">
        <v>8.0040000000000013</v>
      </c>
      <c r="D34" s="23">
        <v>2.7809999999999997</v>
      </c>
      <c r="E34" s="23">
        <v>9.3399999999999993E-3</v>
      </c>
      <c r="F34" s="23">
        <v>16951</v>
      </c>
    </row>
    <row r="35" spans="1:6" x14ac:dyDescent="0.2">
      <c r="A35" t="s">
        <v>19</v>
      </c>
      <c r="B35">
        <v>21191</v>
      </c>
      <c r="C35" s="23">
        <v>80.641999999999996</v>
      </c>
      <c r="D35" s="23">
        <v>21.240000000000002</v>
      </c>
      <c r="E35" s="23">
        <v>8.8749999999999996E-2</v>
      </c>
      <c r="F35" s="23">
        <v>155464</v>
      </c>
    </row>
    <row r="36" spans="1:6" x14ac:dyDescent="0.2">
      <c r="A36" t="s">
        <v>20</v>
      </c>
      <c r="B36">
        <v>63489</v>
      </c>
      <c r="C36" s="23">
        <v>6.0490000000000004</v>
      </c>
      <c r="D36" s="23">
        <v>4.5069999999999988</v>
      </c>
      <c r="E36" s="23">
        <v>2.102E-2</v>
      </c>
      <c r="F36" s="23">
        <v>17315</v>
      </c>
    </row>
    <row r="37" spans="1:6" x14ac:dyDescent="0.2">
      <c r="A37" t="s">
        <v>21</v>
      </c>
      <c r="B37">
        <v>45223</v>
      </c>
      <c r="C37" s="23">
        <v>3.3780000000000001</v>
      </c>
      <c r="D37" s="23">
        <v>5.1829999999999989</v>
      </c>
      <c r="E37" s="23">
        <v>9.2069999999999999E-2</v>
      </c>
      <c r="F37" s="23">
        <v>13691</v>
      </c>
    </row>
    <row r="38" spans="1:6" x14ac:dyDescent="0.2">
      <c r="A38" t="s">
        <v>22</v>
      </c>
      <c r="B38">
        <v>10633</v>
      </c>
      <c r="C38" s="23">
        <v>1.429</v>
      </c>
      <c r="D38" s="23">
        <v>11.853999999999997</v>
      </c>
      <c r="E38" s="23">
        <v>9.7869999999999999E-2</v>
      </c>
      <c r="F38" s="23">
        <v>50685</v>
      </c>
    </row>
    <row r="39" spans="1:6" x14ac:dyDescent="0.2">
      <c r="A39" t="s">
        <v>67</v>
      </c>
      <c r="B39">
        <v>97562</v>
      </c>
      <c r="C39" s="23">
        <v>2.9609999999999999</v>
      </c>
      <c r="D39" s="23">
        <v>1.3129999999999999</v>
      </c>
      <c r="E39" s="23">
        <v>5.6899999999999997E-3</v>
      </c>
      <c r="F39" s="23">
        <v>22262</v>
      </c>
    </row>
    <row r="40" spans="1:6" x14ac:dyDescent="0.2">
      <c r="A40" t="s">
        <v>68</v>
      </c>
      <c r="B40">
        <v>21564</v>
      </c>
      <c r="C40" s="23">
        <v>0</v>
      </c>
      <c r="D40" s="23">
        <v>0.97</v>
      </c>
      <c r="E40" s="23">
        <v>2.1800000000000001E-3</v>
      </c>
      <c r="F40" s="23">
        <v>0</v>
      </c>
    </row>
    <row r="41" spans="1:6" x14ac:dyDescent="0.2">
      <c r="A41" t="s">
        <v>69</v>
      </c>
      <c r="B41">
        <v>13269</v>
      </c>
      <c r="C41" s="23">
        <v>12.350999999999999</v>
      </c>
      <c r="D41" s="23">
        <v>12.124000000000001</v>
      </c>
      <c r="E41" s="23">
        <v>3.2039999999999999E-2</v>
      </c>
      <c r="F41" s="23">
        <v>5486</v>
      </c>
    </row>
    <row r="42" spans="1:6" x14ac:dyDescent="0.2">
      <c r="A42" t="s">
        <v>28</v>
      </c>
      <c r="B42">
        <v>10599</v>
      </c>
      <c r="C42" s="23">
        <v>8.927999999999999</v>
      </c>
      <c r="D42" s="23">
        <v>6.7329999999999997</v>
      </c>
      <c r="E42" s="23">
        <v>3.7440000000000001E-2</v>
      </c>
      <c r="F42" s="23">
        <v>25654</v>
      </c>
    </row>
    <row r="43" spans="1:6" x14ac:dyDescent="0.2">
      <c r="A43" t="s">
        <v>29</v>
      </c>
      <c r="B43">
        <v>6618</v>
      </c>
      <c r="C43" s="23">
        <v>120.364</v>
      </c>
      <c r="D43" s="23">
        <v>42.773000000000003</v>
      </c>
      <c r="E43" s="23">
        <v>0.19116</v>
      </c>
      <c r="F43" s="23">
        <v>44810</v>
      </c>
    </row>
    <row r="44" spans="1:6" x14ac:dyDescent="0.2">
      <c r="A44" t="s">
        <v>30</v>
      </c>
      <c r="B44">
        <v>12066</v>
      </c>
      <c r="C44" s="23">
        <v>8.0040000000000013</v>
      </c>
      <c r="D44" s="23">
        <v>2.7809999999999997</v>
      </c>
      <c r="E44" s="23">
        <v>9.3399999999999993E-3</v>
      </c>
      <c r="F44" s="23">
        <v>16951</v>
      </c>
    </row>
    <row r="45" spans="1:6" x14ac:dyDescent="0.2">
      <c r="A45" t="s">
        <v>244</v>
      </c>
      <c r="C45" s="23">
        <f>mushrooms!C8</f>
        <v>3.1268091064528721E-2</v>
      </c>
      <c r="D45" s="23">
        <f>mushrooms!D8</f>
        <v>1.0006666666666666</v>
      </c>
      <c r="E45" s="23">
        <f>mushrooms!E8</f>
        <v>1.0795199999999998E-3</v>
      </c>
      <c r="F45" s="23">
        <f>mushrooms!F8</f>
        <v>682.8599999999999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4B59-854C-5F4B-BB45-84E50997D576}">
  <dimension ref="A1:F46"/>
  <sheetViews>
    <sheetView workbookViewId="0">
      <selection activeCell="G46" sqref="G46"/>
    </sheetView>
  </sheetViews>
  <sheetFormatPr baseColWidth="10" defaultRowHeight="15" x14ac:dyDescent="0.2"/>
  <cols>
    <col min="1" max="1" width="20.5" bestFit="1" customWidth="1"/>
    <col min="2" max="2" width="30.33203125" bestFit="1" customWidth="1"/>
    <col min="3" max="3" width="11.83203125" bestFit="1" customWidth="1"/>
    <col min="4" max="4" width="22.1640625" bestFit="1" customWidth="1"/>
    <col min="5" max="5" width="14.83203125" bestFit="1" customWidth="1"/>
    <col min="6" max="6" width="13.83203125" bestFit="1" customWidth="1"/>
  </cols>
  <sheetData>
    <row r="1" spans="1:6" x14ac:dyDescent="0.2">
      <c r="A1" s="22" t="s">
        <v>0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74</v>
      </c>
    </row>
    <row r="2" spans="1:6" x14ac:dyDescent="0.2">
      <c r="A2" t="s">
        <v>59</v>
      </c>
      <c r="B2">
        <v>482152</v>
      </c>
      <c r="C2" s="23">
        <v>3.4819999999999998</v>
      </c>
      <c r="D2" s="23">
        <v>1.4410000000000001</v>
      </c>
      <c r="E2" s="23">
        <v>7.0600000000000003E-3</v>
      </c>
      <c r="F2" s="23">
        <v>28918</v>
      </c>
    </row>
    <row r="3" spans="1:6" x14ac:dyDescent="0.2">
      <c r="A3" t="s">
        <v>1</v>
      </c>
      <c r="B3">
        <v>194554</v>
      </c>
      <c r="C3" s="23">
        <v>1.6280000000000001</v>
      </c>
      <c r="D3" s="23">
        <v>0.98800000000000021</v>
      </c>
      <c r="E3" s="23">
        <v>2.2599999999999999E-3</v>
      </c>
      <c r="F3" s="23">
        <v>6007</v>
      </c>
    </row>
    <row r="4" spans="1:6" x14ac:dyDescent="0.2">
      <c r="A4" t="s">
        <v>2</v>
      </c>
      <c r="B4">
        <v>206523</v>
      </c>
      <c r="C4" s="23">
        <v>0.94000000000000006</v>
      </c>
      <c r="D4" s="23">
        <v>1.109</v>
      </c>
      <c r="E4" s="23">
        <v>2.1099999999999999E-3</v>
      </c>
      <c r="F4" s="23">
        <v>604</v>
      </c>
    </row>
    <row r="5" spans="1:6" x14ac:dyDescent="0.2">
      <c r="A5" t="s">
        <v>60</v>
      </c>
      <c r="B5">
        <v>4463</v>
      </c>
      <c r="C5" s="23">
        <v>4.766</v>
      </c>
      <c r="D5" s="23">
        <v>1.575</v>
      </c>
      <c r="E5" s="23">
        <v>7.0499999999999998E-3</v>
      </c>
      <c r="F5" s="23">
        <v>11774</v>
      </c>
    </row>
    <row r="6" spans="1:6" x14ac:dyDescent="0.2">
      <c r="A6" t="s">
        <v>3</v>
      </c>
      <c r="B6">
        <v>397780</v>
      </c>
      <c r="C6" s="23">
        <v>2.4009999999999998</v>
      </c>
      <c r="D6" s="23">
        <v>3.8390000000000004</v>
      </c>
      <c r="E6" s="23">
        <v>2.972E-2</v>
      </c>
      <c r="F6" s="23">
        <v>43275</v>
      </c>
    </row>
    <row r="7" spans="1:6" x14ac:dyDescent="0.2">
      <c r="A7" s="25" t="s">
        <v>4</v>
      </c>
      <c r="B7">
        <v>332343</v>
      </c>
      <c r="C7" s="23">
        <v>0.64300000000000002</v>
      </c>
      <c r="D7" s="23">
        <v>0.37</v>
      </c>
      <c r="E7" s="23">
        <v>2.5500000000000002E-3</v>
      </c>
      <c r="F7" s="23">
        <v>2027</v>
      </c>
    </row>
    <row r="8" spans="1:6" x14ac:dyDescent="0.2">
      <c r="A8" s="25" t="s">
        <v>61</v>
      </c>
      <c r="B8">
        <v>173814</v>
      </c>
      <c r="C8" s="23">
        <v>1.254</v>
      </c>
      <c r="D8" s="23">
        <v>0.98699999999999999</v>
      </c>
      <c r="E8" s="23">
        <v>5.5999999999999995E-4</v>
      </c>
      <c r="F8" s="23">
        <v>0</v>
      </c>
    </row>
    <row r="9" spans="1:6" x14ac:dyDescent="0.2">
      <c r="A9" s="25" t="s">
        <v>75</v>
      </c>
      <c r="B9">
        <f>SUM(totals!B9:B10)</f>
        <v>175740</v>
      </c>
      <c r="C9" s="23">
        <f>(totals!C9*totals!$B9+totals!C10*totals!$B10)/'augmented w condiments'!$B9</f>
        <v>1.5628168999658589</v>
      </c>
      <c r="D9" s="23">
        <f>(totals!D9*totals!$B9+totals!D10*totals!$B10)/'augmented w condiments'!$B9</f>
        <v>2.4519751451007172</v>
      </c>
      <c r="E9" s="23">
        <f>(totals!E9*totals!$B9+totals!E10*totals!$B10)/'augmented w condiments'!$B9</f>
        <v>1.1812298053943324E-2</v>
      </c>
      <c r="F9" s="23">
        <f>(totals!F9*totals!$B9+totals!F10*totals!$B10)/'augmented w condiments'!$B9</f>
        <v>11995.294673950153</v>
      </c>
    </row>
    <row r="10" spans="1:6" x14ac:dyDescent="0.2">
      <c r="A10" s="25" t="s">
        <v>44</v>
      </c>
      <c r="B10">
        <v>42765</v>
      </c>
      <c r="C10" s="23">
        <v>13.620000000000001</v>
      </c>
      <c r="D10" s="23">
        <v>1.6099999999999999</v>
      </c>
      <c r="E10" s="23">
        <v>1.5010000000000001E-2</v>
      </c>
      <c r="F10" s="23">
        <v>18670</v>
      </c>
    </row>
    <row r="11" spans="1:6" x14ac:dyDescent="0.2">
      <c r="A11" s="25" t="s">
        <v>5</v>
      </c>
      <c r="B11">
        <v>6026</v>
      </c>
      <c r="C11" s="23">
        <v>6.7379999999999995</v>
      </c>
      <c r="D11" s="23">
        <v>0.89600000000000002</v>
      </c>
      <c r="E11" s="23">
        <v>6.8300000000000001E-3</v>
      </c>
      <c r="F11" s="23">
        <v>24856</v>
      </c>
    </row>
    <row r="12" spans="1:6" x14ac:dyDescent="0.2">
      <c r="A12" s="25" t="s">
        <v>6</v>
      </c>
      <c r="B12">
        <v>15296</v>
      </c>
      <c r="C12" s="23">
        <v>5.08</v>
      </c>
      <c r="D12" s="23">
        <v>0.27799999999999986</v>
      </c>
      <c r="E12" s="23">
        <v>8.8000000000000005E-3</v>
      </c>
      <c r="F12" s="23">
        <v>106382</v>
      </c>
    </row>
    <row r="13" spans="1:6" x14ac:dyDescent="0.2">
      <c r="A13" s="25" t="s">
        <v>7</v>
      </c>
      <c r="B13">
        <v>11827</v>
      </c>
      <c r="C13" s="23">
        <v>6.9710000000000001</v>
      </c>
      <c r="D13" s="23">
        <v>2.4970000000000003</v>
      </c>
      <c r="E13" s="23">
        <v>1.1169999999999999E-2</v>
      </c>
      <c r="F13" s="23">
        <v>48147</v>
      </c>
    </row>
    <row r="14" spans="1:6" x14ac:dyDescent="0.2">
      <c r="A14" s="25" t="s">
        <v>52</v>
      </c>
      <c r="B14">
        <v>33318</v>
      </c>
      <c r="C14" s="23">
        <v>0.59200000000000008</v>
      </c>
      <c r="D14" s="23">
        <v>0.91400000000000003</v>
      </c>
      <c r="E14" s="23">
        <v>9.7000000000000005E-4</v>
      </c>
      <c r="F14" s="23">
        <v>894</v>
      </c>
    </row>
    <row r="15" spans="1:6" x14ac:dyDescent="0.2">
      <c r="A15" s="25" t="s">
        <v>53</v>
      </c>
      <c r="B15">
        <v>11853</v>
      </c>
      <c r="C15" s="23">
        <v>3.1539999999999999</v>
      </c>
      <c r="D15" s="23">
        <v>2.871</v>
      </c>
      <c r="E15" s="23">
        <v>5.5300000000000002E-3</v>
      </c>
      <c r="F15" s="23">
        <v>4785</v>
      </c>
    </row>
    <row r="16" spans="1:6" x14ac:dyDescent="0.2">
      <c r="A16" s="25" t="s">
        <v>76</v>
      </c>
      <c r="B16">
        <f>SUM(totals!B17:B21) + totals!B46</f>
        <v>77105</v>
      </c>
      <c r="C16" s="23">
        <f>(totals!C17*totals!$B17+totals!C18*totals!$B18+totals!C19*totals!$B19+totals!C20*totals!$B20+totals!C21*totals!$B21+totals!C46*totals!$B46)/'augmented w condiments'!$B16</f>
        <v>10.113422787108487</v>
      </c>
      <c r="D16" s="23">
        <f>(totals!D17*totals!$B17+totals!D18*totals!$B18+totals!D19*totals!$B19+totals!D20*totals!$B20+totals!D21*totals!$B21+totals!D46*totals!$B46)/'augmented w condiments'!$B16</f>
        <v>5.7518206731080994</v>
      </c>
      <c r="E16" s="23">
        <f>(totals!E17*totals!$B17+totals!E18*totals!$B18+totals!E19*totals!$B19+totals!E20*totals!$B20+totals!E21*totals!$B21+totals!E46*totals!$B46)/'augmented w condiments'!$B16</f>
        <v>1.9732383892095192E-2</v>
      </c>
      <c r="F16" s="23">
        <f>(totals!F17*totals!$B17+totals!F18*totals!$B18+totals!F19*totals!$B19+totals!F20*totals!$B20+totals!F21*totals!$B21+totals!F46*totals!$B46)/'augmented w condiments'!$B16</f>
        <v>21572.249037027432</v>
      </c>
    </row>
    <row r="17" spans="1:6" x14ac:dyDescent="0.2">
      <c r="A17" s="25" t="s">
        <v>8</v>
      </c>
      <c r="B17">
        <v>148957</v>
      </c>
      <c r="C17" s="23">
        <v>0.51</v>
      </c>
      <c r="D17" s="23">
        <v>1.427</v>
      </c>
      <c r="E17" s="23">
        <v>4.81E-3</v>
      </c>
      <c r="F17" s="23">
        <v>4013</v>
      </c>
    </row>
    <row r="18" spans="1:6" x14ac:dyDescent="0.2">
      <c r="A18" s="25" t="s">
        <v>62</v>
      </c>
      <c r="B18">
        <v>77927</v>
      </c>
      <c r="C18" s="23">
        <v>0.28500000000000003</v>
      </c>
      <c r="D18" s="23">
        <v>0.39499999999999996</v>
      </c>
      <c r="E18" s="23">
        <v>2.3E-3</v>
      </c>
      <c r="F18" s="23">
        <v>746</v>
      </c>
    </row>
    <row r="19" spans="1:6" x14ac:dyDescent="0.2">
      <c r="A19" s="25" t="s">
        <v>9</v>
      </c>
      <c r="B19">
        <v>35154</v>
      </c>
      <c r="C19" s="23">
        <v>0.26300000000000001</v>
      </c>
      <c r="D19" s="23">
        <v>0.36499999999999999</v>
      </c>
      <c r="E19" s="23">
        <v>1.32E-3</v>
      </c>
      <c r="F19" s="23">
        <v>776</v>
      </c>
    </row>
    <row r="20" spans="1:6" x14ac:dyDescent="0.2">
      <c r="A20" s="25" t="s">
        <v>47</v>
      </c>
      <c r="B20">
        <v>77045</v>
      </c>
      <c r="C20" s="23">
        <v>0.45199999999999996</v>
      </c>
      <c r="D20" s="23">
        <v>0.437</v>
      </c>
      <c r="E20" s="23">
        <v>4.1399999999999996E-3</v>
      </c>
      <c r="F20" s="23">
        <v>6878</v>
      </c>
    </row>
    <row r="21" spans="1:6" x14ac:dyDescent="0.2">
      <c r="A21" s="25" t="s">
        <v>10</v>
      </c>
      <c r="B21">
        <v>654375</v>
      </c>
      <c r="C21" s="23">
        <v>0.31</v>
      </c>
      <c r="D21" s="23">
        <v>0.45500000000000002</v>
      </c>
      <c r="E21" s="23">
        <v>1.8600000000000001E-3</v>
      </c>
      <c r="F21" s="23">
        <v>3958</v>
      </c>
    </row>
    <row r="22" spans="1:6" x14ac:dyDescent="0.2">
      <c r="A22" s="25" t="s">
        <v>11</v>
      </c>
      <c r="B22">
        <v>127923</v>
      </c>
      <c r="C22" s="23">
        <v>0.67500000000000004</v>
      </c>
      <c r="D22" s="23">
        <v>0.317</v>
      </c>
      <c r="E22" s="23">
        <v>1.57E-3</v>
      </c>
      <c r="F22" s="23">
        <v>3678</v>
      </c>
    </row>
    <row r="23" spans="1:6" x14ac:dyDescent="0.2">
      <c r="A23" s="25" t="s">
        <v>12</v>
      </c>
      <c r="B23">
        <v>128971</v>
      </c>
      <c r="C23" s="23">
        <v>1.23</v>
      </c>
      <c r="D23" s="23">
        <v>0.67800000000000005</v>
      </c>
      <c r="E23" s="23">
        <v>2.2499999999999998E-3</v>
      </c>
      <c r="F23" s="23">
        <v>491</v>
      </c>
    </row>
    <row r="24" spans="1:6" x14ac:dyDescent="0.2">
      <c r="A24" s="25" t="s">
        <v>13</v>
      </c>
      <c r="B24">
        <v>75781</v>
      </c>
      <c r="C24" s="23">
        <v>0.49300000000000005</v>
      </c>
      <c r="D24" s="23">
        <v>0.35700000000000004</v>
      </c>
      <c r="E24" s="23">
        <v>1.15E-3</v>
      </c>
      <c r="F24" s="23">
        <v>10007</v>
      </c>
    </row>
    <row r="25" spans="1:6" x14ac:dyDescent="0.2">
      <c r="A25" s="25" t="s">
        <v>63</v>
      </c>
      <c r="B25">
        <v>67079</v>
      </c>
      <c r="C25" s="23">
        <v>1.6400000000000001</v>
      </c>
      <c r="D25" s="23">
        <v>1.214</v>
      </c>
      <c r="E25" s="23">
        <v>5.3099999999999996E-3</v>
      </c>
      <c r="F25" s="23">
        <v>15180</v>
      </c>
    </row>
    <row r="26" spans="1:6" x14ac:dyDescent="0.2">
      <c r="A26" s="25" t="s">
        <v>64</v>
      </c>
      <c r="B26">
        <v>26013</v>
      </c>
      <c r="C26" s="23">
        <v>1.5529999999999999</v>
      </c>
      <c r="D26" s="23">
        <v>1.5849999999999997</v>
      </c>
      <c r="E26" s="23">
        <v>4.0200000000000001E-3</v>
      </c>
      <c r="F26" s="23">
        <v>1003</v>
      </c>
    </row>
    <row r="27" spans="1:6" x14ac:dyDescent="0.2">
      <c r="A27" s="25" t="s">
        <v>14</v>
      </c>
      <c r="B27">
        <v>210650</v>
      </c>
      <c r="C27" s="23">
        <v>0.61</v>
      </c>
      <c r="D27" s="23">
        <v>0.75</v>
      </c>
      <c r="E27" s="23">
        <v>1.7899999999999999E-3</v>
      </c>
      <c r="F27" s="23">
        <v>7771</v>
      </c>
    </row>
    <row r="28" spans="1:6" x14ac:dyDescent="0.2">
      <c r="A28" s="25" t="s">
        <v>15</v>
      </c>
      <c r="B28">
        <v>7778</v>
      </c>
      <c r="C28" s="23">
        <v>11.721</v>
      </c>
      <c r="D28" s="23">
        <v>16.477</v>
      </c>
      <c r="E28" s="23">
        <v>6.0199999999999997E-2</v>
      </c>
      <c r="F28" s="23">
        <v>182</v>
      </c>
    </row>
    <row r="29" spans="1:6" x14ac:dyDescent="0.2">
      <c r="A29" s="25" t="s">
        <v>65</v>
      </c>
      <c r="B29">
        <v>4416</v>
      </c>
      <c r="C29" s="23">
        <v>23.693000000000001</v>
      </c>
      <c r="D29" s="23">
        <v>18.680999999999997</v>
      </c>
      <c r="E29" s="23">
        <v>3.0609999999999998E-2</v>
      </c>
      <c r="F29" s="23">
        <v>1097</v>
      </c>
    </row>
    <row r="30" spans="1:6" x14ac:dyDescent="0.2">
      <c r="A30" s="25" t="s">
        <v>77</v>
      </c>
      <c r="B30">
        <f>SUM(totals!B35:B36)</f>
        <v>71996</v>
      </c>
      <c r="C30" s="23">
        <f>(totals!C35*totals!$B35+totals!C36*totals!$B36)/'augmented w condiments'!$B30</f>
        <v>120.36398808267127</v>
      </c>
      <c r="D30" s="23">
        <f>(totals!D35*totals!$B35+totals!D36*totals!$B36)/'augmented w condiments'!$B30</f>
        <v>42.771967817656531</v>
      </c>
      <c r="E30" s="23">
        <f>(totals!E35*totals!$B35+totals!E36*totals!$B36)/'augmented w condiments'!$B30</f>
        <v>0.19115809378298793</v>
      </c>
      <c r="F30" s="23">
        <f>(totals!F35*totals!$B35+totals!F36*totals!$B36)/'augmented w condiments'!$B30</f>
        <v>44809.880382243457</v>
      </c>
    </row>
    <row r="31" spans="1:6" x14ac:dyDescent="0.2">
      <c r="A31" s="25" t="s">
        <v>48</v>
      </c>
      <c r="B31">
        <v>14195</v>
      </c>
      <c r="C31" s="23">
        <v>223.30600000000001</v>
      </c>
      <c r="D31" s="23">
        <v>24.414999999999999</v>
      </c>
      <c r="E31" s="23">
        <v>5.9650000000000002E-2</v>
      </c>
      <c r="F31" s="23">
        <v>85193</v>
      </c>
    </row>
    <row r="32" spans="1:6" x14ac:dyDescent="0.2">
      <c r="A32" s="25" t="s">
        <v>16</v>
      </c>
      <c r="B32">
        <v>112892</v>
      </c>
      <c r="C32" s="23">
        <v>10.156000000000001</v>
      </c>
      <c r="D32" s="23">
        <v>7.282</v>
      </c>
      <c r="E32" s="23">
        <v>4.4159999999999998E-2</v>
      </c>
      <c r="F32" s="23">
        <v>40028</v>
      </c>
    </row>
    <row r="33" spans="1:6" x14ac:dyDescent="0.2">
      <c r="A33" s="25" t="s">
        <v>17</v>
      </c>
      <c r="B33">
        <v>96439</v>
      </c>
      <c r="C33" s="23">
        <v>7.49</v>
      </c>
      <c r="D33" s="23">
        <v>6.0919999999999987</v>
      </c>
      <c r="E33" s="23">
        <v>2.9569999999999999E-2</v>
      </c>
      <c r="F33" s="23">
        <v>8828</v>
      </c>
    </row>
    <row r="34" spans="1:6" x14ac:dyDescent="0.2">
      <c r="A34" s="25" t="s">
        <v>18</v>
      </c>
      <c r="B34">
        <v>470267</v>
      </c>
      <c r="C34" s="23">
        <v>8.0040000000000013</v>
      </c>
      <c r="D34" s="23">
        <v>2.7809999999999997</v>
      </c>
      <c r="E34" s="23">
        <v>9.3399999999999993E-3</v>
      </c>
      <c r="F34" s="23">
        <v>16951</v>
      </c>
    </row>
    <row r="35" spans="1:6" x14ac:dyDescent="0.2">
      <c r="A35" t="s">
        <v>19</v>
      </c>
      <c r="B35">
        <v>21191</v>
      </c>
      <c r="C35" s="23">
        <v>80.641999999999996</v>
      </c>
      <c r="D35" s="23">
        <v>21.240000000000002</v>
      </c>
      <c r="E35" s="23">
        <v>8.8749999999999996E-2</v>
      </c>
      <c r="F35" s="23">
        <v>155464</v>
      </c>
    </row>
    <row r="36" spans="1:6" x14ac:dyDescent="0.2">
      <c r="A36" t="s">
        <v>20</v>
      </c>
      <c r="B36">
        <v>63489</v>
      </c>
      <c r="C36" s="23">
        <v>6.0490000000000004</v>
      </c>
      <c r="D36" s="23">
        <v>4.5069999999999988</v>
      </c>
      <c r="E36" s="23">
        <v>2.102E-2</v>
      </c>
      <c r="F36" s="23">
        <v>17315</v>
      </c>
    </row>
    <row r="37" spans="1:6" x14ac:dyDescent="0.2">
      <c r="A37" t="s">
        <v>21</v>
      </c>
      <c r="B37">
        <v>45223</v>
      </c>
      <c r="C37" s="23">
        <v>3.3780000000000001</v>
      </c>
      <c r="D37" s="23">
        <v>5.1829999999999989</v>
      </c>
      <c r="E37" s="23">
        <v>9.2069999999999999E-2</v>
      </c>
      <c r="F37" s="23">
        <v>13691</v>
      </c>
    </row>
    <row r="38" spans="1:6" x14ac:dyDescent="0.2">
      <c r="A38" t="s">
        <v>22</v>
      </c>
      <c r="B38">
        <v>10633</v>
      </c>
      <c r="C38" s="23">
        <v>1.429</v>
      </c>
      <c r="D38" s="23">
        <v>11.853999999999997</v>
      </c>
      <c r="E38" s="23">
        <v>9.7869999999999999E-2</v>
      </c>
      <c r="F38" s="23">
        <v>50685</v>
      </c>
    </row>
    <row r="39" spans="1:6" x14ac:dyDescent="0.2">
      <c r="A39" t="s">
        <v>67</v>
      </c>
      <c r="B39">
        <v>97562</v>
      </c>
      <c r="C39" s="23">
        <v>2.9609999999999999</v>
      </c>
      <c r="D39" s="23">
        <v>1.3129999999999999</v>
      </c>
      <c r="E39" s="23">
        <v>5.6899999999999997E-3</v>
      </c>
      <c r="F39" s="23">
        <v>22262</v>
      </c>
    </row>
    <row r="40" spans="1:6" x14ac:dyDescent="0.2">
      <c r="A40" t="s">
        <v>68</v>
      </c>
      <c r="B40">
        <v>21564</v>
      </c>
      <c r="C40" s="23">
        <v>0</v>
      </c>
      <c r="D40" s="23">
        <v>0.97</v>
      </c>
      <c r="E40" s="23">
        <v>2.1800000000000001E-3</v>
      </c>
      <c r="F40" s="23">
        <v>0</v>
      </c>
    </row>
    <row r="41" spans="1:6" x14ac:dyDescent="0.2">
      <c r="A41" t="s">
        <v>69</v>
      </c>
      <c r="B41">
        <v>13269</v>
      </c>
      <c r="C41" s="23">
        <v>12.350999999999999</v>
      </c>
      <c r="D41" s="23">
        <v>12.124000000000001</v>
      </c>
      <c r="E41" s="23">
        <v>3.2039999999999999E-2</v>
      </c>
      <c r="F41" s="23">
        <v>5486</v>
      </c>
    </row>
    <row r="42" spans="1:6" x14ac:dyDescent="0.2">
      <c r="A42" t="s">
        <v>28</v>
      </c>
      <c r="B42">
        <v>10599</v>
      </c>
      <c r="C42" s="23">
        <v>8.927999999999999</v>
      </c>
      <c r="D42" s="23">
        <v>6.7329999999999997</v>
      </c>
      <c r="E42" s="23">
        <v>3.7440000000000001E-2</v>
      </c>
      <c r="F42" s="23">
        <v>25654</v>
      </c>
    </row>
    <row r="43" spans="1:6" x14ac:dyDescent="0.2">
      <c r="A43" t="s">
        <v>29</v>
      </c>
      <c r="B43">
        <v>6618</v>
      </c>
      <c r="C43" s="23">
        <v>120.364</v>
      </c>
      <c r="D43" s="23">
        <v>42.773000000000003</v>
      </c>
      <c r="E43" s="23">
        <v>0.19116</v>
      </c>
      <c r="F43" s="23">
        <v>44810</v>
      </c>
    </row>
    <row r="44" spans="1:6" x14ac:dyDescent="0.2">
      <c r="A44" t="s">
        <v>30</v>
      </c>
      <c r="B44">
        <v>12066</v>
      </c>
      <c r="C44" s="23">
        <v>8.0040000000000013</v>
      </c>
      <c r="D44" s="23">
        <v>2.7809999999999997</v>
      </c>
      <c r="E44" s="23">
        <v>9.3399999999999993E-3</v>
      </c>
      <c r="F44" s="23">
        <v>16951</v>
      </c>
    </row>
    <row r="45" spans="1:6" x14ac:dyDescent="0.2">
      <c r="A45" t="s">
        <v>244</v>
      </c>
      <c r="C45" s="23">
        <f>mushrooms!C8</f>
        <v>3.1268091064528721E-2</v>
      </c>
      <c r="D45" s="23">
        <f>mushrooms!D8</f>
        <v>1.0006666666666666</v>
      </c>
      <c r="E45" s="23">
        <f>mushrooms!E8</f>
        <v>1.0795199999999998E-3</v>
      </c>
      <c r="F45" s="23">
        <f>mushrooms!F8</f>
        <v>682.8599999999999</v>
      </c>
    </row>
    <row r="46" spans="1:6" x14ac:dyDescent="0.2">
      <c r="A46" t="s">
        <v>245</v>
      </c>
      <c r="C46" s="23">
        <v>0</v>
      </c>
      <c r="D46" s="23">
        <v>0</v>
      </c>
      <c r="E46" s="23">
        <v>0</v>
      </c>
      <c r="F46" s="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E6F9-15A1-E64C-B246-BA405405953B}">
  <dimension ref="A1:C154"/>
  <sheetViews>
    <sheetView tabSelected="1" topLeftCell="A107" workbookViewId="0">
      <selection activeCell="E130" sqref="E130"/>
    </sheetView>
  </sheetViews>
  <sheetFormatPr baseColWidth="10" defaultRowHeight="15" x14ac:dyDescent="0.2"/>
  <cols>
    <col min="1" max="1" width="33.1640625" bestFit="1" customWidth="1"/>
    <col min="2" max="2" width="27" bestFit="1" customWidth="1"/>
    <col min="3" max="3" width="22.33203125" bestFit="1" customWidth="1"/>
  </cols>
  <sheetData>
    <row r="1" spans="1:3" x14ac:dyDescent="0.2">
      <c r="A1" s="22" t="s">
        <v>220</v>
      </c>
      <c r="B1" s="22" t="s">
        <v>221</v>
      </c>
      <c r="C1" s="22" t="s">
        <v>222</v>
      </c>
    </row>
    <row r="2" spans="1:3" x14ac:dyDescent="0.2">
      <c r="A2" s="26" t="s">
        <v>59</v>
      </c>
      <c r="B2" t="s">
        <v>78</v>
      </c>
    </row>
    <row r="3" spans="1:3" x14ac:dyDescent="0.2">
      <c r="A3" s="26" t="s">
        <v>59</v>
      </c>
      <c r="B3" t="s">
        <v>92</v>
      </c>
    </row>
    <row r="4" spans="1:3" x14ac:dyDescent="0.2">
      <c r="A4" s="26" t="s">
        <v>59</v>
      </c>
      <c r="B4" t="s">
        <v>93</v>
      </c>
    </row>
    <row r="5" spans="1:3" x14ac:dyDescent="0.2">
      <c r="A5" s="26" t="s">
        <v>59</v>
      </c>
      <c r="B5" t="s">
        <v>115</v>
      </c>
    </row>
    <row r="6" spans="1:3" x14ac:dyDescent="0.2">
      <c r="A6" s="26" t="s">
        <v>59</v>
      </c>
      <c r="B6" t="s">
        <v>124</v>
      </c>
    </row>
    <row r="7" spans="1:3" x14ac:dyDescent="0.2">
      <c r="A7" s="26" t="s">
        <v>59</v>
      </c>
      <c r="B7" t="s">
        <v>129</v>
      </c>
    </row>
    <row r="8" spans="1:3" x14ac:dyDescent="0.2">
      <c r="A8" s="26" t="s">
        <v>59</v>
      </c>
      <c r="B8" t="s">
        <v>159</v>
      </c>
    </row>
    <row r="9" spans="1:3" x14ac:dyDescent="0.2">
      <c r="A9" s="26" t="s">
        <v>59</v>
      </c>
      <c r="B9" t="s">
        <v>172</v>
      </c>
    </row>
    <row r="10" spans="1:3" x14ac:dyDescent="0.2">
      <c r="A10" s="26" t="s">
        <v>59</v>
      </c>
      <c r="B10" t="s">
        <v>209</v>
      </c>
    </row>
    <row r="11" spans="1:3" x14ac:dyDescent="0.2">
      <c r="A11" s="26" t="s">
        <v>59</v>
      </c>
      <c r="B11" t="s">
        <v>214</v>
      </c>
    </row>
    <row r="12" spans="1:3" x14ac:dyDescent="0.2">
      <c r="A12" s="26" t="s">
        <v>1</v>
      </c>
      <c r="B12" t="s">
        <v>112</v>
      </c>
    </row>
    <row r="13" spans="1:3" x14ac:dyDescent="0.2">
      <c r="A13" s="26" t="s">
        <v>1</v>
      </c>
      <c r="B13" t="s">
        <v>113</v>
      </c>
    </row>
    <row r="14" spans="1:3" x14ac:dyDescent="0.2">
      <c r="A14" t="s">
        <v>2</v>
      </c>
      <c r="B14" t="s">
        <v>79</v>
      </c>
    </row>
    <row r="15" spans="1:3" x14ac:dyDescent="0.2">
      <c r="A15" t="s">
        <v>60</v>
      </c>
      <c r="B15" t="s">
        <v>161</v>
      </c>
    </row>
    <row r="16" spans="1:3" x14ac:dyDescent="0.2">
      <c r="A16" t="s">
        <v>3</v>
      </c>
      <c r="B16" t="s">
        <v>186</v>
      </c>
    </row>
    <row r="17" spans="1:2" x14ac:dyDescent="0.2">
      <c r="A17" s="26" t="s">
        <v>4</v>
      </c>
      <c r="B17" t="s">
        <v>106</v>
      </c>
    </row>
    <row r="18" spans="1:2" x14ac:dyDescent="0.2">
      <c r="A18" s="26" t="s">
        <v>4</v>
      </c>
      <c r="B18" t="s">
        <v>181</v>
      </c>
    </row>
    <row r="19" spans="1:2" x14ac:dyDescent="0.2">
      <c r="A19" t="s">
        <v>61</v>
      </c>
    </row>
    <row r="20" spans="1:2" x14ac:dyDescent="0.2">
      <c r="A20" s="28" t="s">
        <v>75</v>
      </c>
      <c r="B20" t="s">
        <v>80</v>
      </c>
    </row>
    <row r="21" spans="1:2" x14ac:dyDescent="0.2">
      <c r="A21" s="28" t="s">
        <v>75</v>
      </c>
      <c r="B21" t="s">
        <v>200</v>
      </c>
    </row>
    <row r="22" spans="1:2" x14ac:dyDescent="0.2">
      <c r="A22" s="28" t="s">
        <v>44</v>
      </c>
      <c r="B22" t="s">
        <v>81</v>
      </c>
    </row>
    <row r="23" spans="1:2" x14ac:dyDescent="0.2">
      <c r="A23" s="28" t="s">
        <v>44</v>
      </c>
      <c r="B23" t="s">
        <v>146</v>
      </c>
    </row>
    <row r="24" spans="1:2" x14ac:dyDescent="0.2">
      <c r="A24" s="25" t="s">
        <v>5</v>
      </c>
      <c r="B24" t="s">
        <v>103</v>
      </c>
    </row>
    <row r="25" spans="1:2" x14ac:dyDescent="0.2">
      <c r="A25" s="28" t="s">
        <v>6</v>
      </c>
      <c r="B25" t="s">
        <v>82</v>
      </c>
    </row>
    <row r="26" spans="1:2" x14ac:dyDescent="0.2">
      <c r="A26" s="28" t="s">
        <v>6</v>
      </c>
      <c r="B26" t="s">
        <v>212</v>
      </c>
    </row>
    <row r="27" spans="1:2" x14ac:dyDescent="0.2">
      <c r="A27" s="25" t="s">
        <v>7</v>
      </c>
      <c r="B27" t="s">
        <v>173</v>
      </c>
    </row>
    <row r="28" spans="1:2" x14ac:dyDescent="0.2">
      <c r="A28" s="25" t="s">
        <v>52</v>
      </c>
      <c r="B28" t="s">
        <v>196</v>
      </c>
    </row>
    <row r="29" spans="1:2" x14ac:dyDescent="0.2">
      <c r="A29" s="25" t="s">
        <v>53</v>
      </c>
      <c r="B29" t="s">
        <v>207</v>
      </c>
    </row>
    <row r="30" spans="1:2" x14ac:dyDescent="0.2">
      <c r="A30" s="25" t="s">
        <v>76</v>
      </c>
      <c r="B30" t="s">
        <v>162</v>
      </c>
    </row>
    <row r="31" spans="1:2" x14ac:dyDescent="0.2">
      <c r="A31" s="25" t="s">
        <v>8</v>
      </c>
      <c r="B31" t="s">
        <v>208</v>
      </c>
    </row>
    <row r="32" spans="1:2" x14ac:dyDescent="0.2">
      <c r="A32" s="28" t="s">
        <v>62</v>
      </c>
      <c r="B32" t="s">
        <v>134</v>
      </c>
    </row>
    <row r="33" spans="1:2" x14ac:dyDescent="0.2">
      <c r="A33" s="28" t="s">
        <v>62</v>
      </c>
      <c r="B33" t="s">
        <v>108</v>
      </c>
    </row>
    <row r="34" spans="1:2" x14ac:dyDescent="0.2">
      <c r="A34" s="28" t="s">
        <v>62</v>
      </c>
      <c r="B34" t="s">
        <v>164</v>
      </c>
    </row>
    <row r="35" spans="1:2" x14ac:dyDescent="0.2">
      <c r="A35" s="28" t="s">
        <v>62</v>
      </c>
      <c r="B35" t="s">
        <v>194</v>
      </c>
    </row>
    <row r="36" spans="1:2" x14ac:dyDescent="0.2">
      <c r="A36" s="28" t="s">
        <v>9</v>
      </c>
      <c r="B36" t="s">
        <v>83</v>
      </c>
    </row>
    <row r="37" spans="1:2" x14ac:dyDescent="0.2">
      <c r="A37" s="28" t="s">
        <v>9</v>
      </c>
      <c r="B37" t="s">
        <v>97</v>
      </c>
    </row>
    <row r="38" spans="1:2" x14ac:dyDescent="0.2">
      <c r="A38" s="28" t="s">
        <v>9</v>
      </c>
      <c r="B38" t="s">
        <v>131</v>
      </c>
    </row>
    <row r="39" spans="1:2" x14ac:dyDescent="0.2">
      <c r="A39" s="28" t="s">
        <v>9</v>
      </c>
      <c r="B39" t="s">
        <v>139</v>
      </c>
    </row>
    <row r="40" spans="1:2" x14ac:dyDescent="0.2">
      <c r="A40" s="28" t="s">
        <v>9</v>
      </c>
      <c r="B40" t="s">
        <v>213</v>
      </c>
    </row>
    <row r="41" spans="1:2" x14ac:dyDescent="0.2">
      <c r="A41" s="28" t="s">
        <v>47</v>
      </c>
      <c r="B41" t="s">
        <v>84</v>
      </c>
    </row>
    <row r="42" spans="1:2" x14ac:dyDescent="0.2">
      <c r="A42" s="28" t="s">
        <v>47</v>
      </c>
      <c r="B42" t="s">
        <v>95</v>
      </c>
    </row>
    <row r="43" spans="1:2" x14ac:dyDescent="0.2">
      <c r="A43" s="28" t="s">
        <v>47</v>
      </c>
      <c r="B43" t="s">
        <v>147</v>
      </c>
    </row>
    <row r="44" spans="1:2" x14ac:dyDescent="0.2">
      <c r="A44" s="28" t="s">
        <v>10</v>
      </c>
      <c r="B44" t="s">
        <v>85</v>
      </c>
    </row>
    <row r="45" spans="1:2" x14ac:dyDescent="0.2">
      <c r="A45" s="28" t="s">
        <v>10</v>
      </c>
      <c r="B45" t="s">
        <v>99</v>
      </c>
    </row>
    <row r="46" spans="1:2" x14ac:dyDescent="0.2">
      <c r="A46" s="28" t="s">
        <v>10</v>
      </c>
      <c r="B46" t="s">
        <v>104</v>
      </c>
    </row>
    <row r="47" spans="1:2" x14ac:dyDescent="0.2">
      <c r="A47" s="28" t="s">
        <v>10</v>
      </c>
      <c r="B47" t="s">
        <v>107</v>
      </c>
    </row>
    <row r="48" spans="1:2" x14ac:dyDescent="0.2">
      <c r="A48" s="28" t="s">
        <v>10</v>
      </c>
      <c r="B48" t="s">
        <v>109</v>
      </c>
    </row>
    <row r="49" spans="1:2" x14ac:dyDescent="0.2">
      <c r="A49" s="28" t="s">
        <v>10</v>
      </c>
      <c r="B49" t="s">
        <v>119</v>
      </c>
    </row>
    <row r="50" spans="1:2" x14ac:dyDescent="0.2">
      <c r="A50" s="28" t="s">
        <v>10</v>
      </c>
      <c r="B50" t="s">
        <v>123</v>
      </c>
    </row>
    <row r="51" spans="1:2" x14ac:dyDescent="0.2">
      <c r="A51" s="28" t="s">
        <v>10</v>
      </c>
      <c r="B51" t="s">
        <v>130</v>
      </c>
    </row>
    <row r="52" spans="1:2" x14ac:dyDescent="0.2">
      <c r="A52" s="28" t="s">
        <v>10</v>
      </c>
      <c r="B52" t="s">
        <v>135</v>
      </c>
    </row>
    <row r="53" spans="1:2" x14ac:dyDescent="0.2">
      <c r="A53" s="28" t="s">
        <v>10</v>
      </c>
      <c r="B53" t="s">
        <v>142</v>
      </c>
    </row>
    <row r="54" spans="1:2" x14ac:dyDescent="0.2">
      <c r="A54" s="28" t="s">
        <v>10</v>
      </c>
      <c r="B54" t="s">
        <v>151</v>
      </c>
    </row>
    <row r="55" spans="1:2" x14ac:dyDescent="0.2">
      <c r="A55" s="28" t="s">
        <v>10</v>
      </c>
      <c r="B55" t="s">
        <v>154</v>
      </c>
    </row>
    <row r="56" spans="1:2" x14ac:dyDescent="0.2">
      <c r="A56" s="28" t="s">
        <v>10</v>
      </c>
      <c r="B56" t="s">
        <v>166</v>
      </c>
    </row>
    <row r="57" spans="1:2" x14ac:dyDescent="0.2">
      <c r="A57" s="28" t="s">
        <v>10</v>
      </c>
      <c r="B57" t="s">
        <v>171</v>
      </c>
    </row>
    <row r="58" spans="1:2" x14ac:dyDescent="0.2">
      <c r="A58" s="28" t="s">
        <v>10</v>
      </c>
      <c r="B58" t="s">
        <v>176</v>
      </c>
    </row>
    <row r="59" spans="1:2" x14ac:dyDescent="0.2">
      <c r="A59" s="28" t="s">
        <v>10</v>
      </c>
      <c r="B59" t="s">
        <v>183</v>
      </c>
    </row>
    <row r="60" spans="1:2" x14ac:dyDescent="0.2">
      <c r="A60" s="28" t="s">
        <v>10</v>
      </c>
      <c r="B60" t="s">
        <v>187</v>
      </c>
    </row>
    <row r="61" spans="1:2" x14ac:dyDescent="0.2">
      <c r="A61" s="28" t="s">
        <v>10</v>
      </c>
      <c r="B61" t="s">
        <v>188</v>
      </c>
    </row>
    <row r="62" spans="1:2" x14ac:dyDescent="0.2">
      <c r="A62" s="28" t="s">
        <v>10</v>
      </c>
      <c r="B62" t="s">
        <v>193</v>
      </c>
    </row>
    <row r="63" spans="1:2" x14ac:dyDescent="0.2">
      <c r="A63" s="28" t="s">
        <v>10</v>
      </c>
      <c r="B63" t="s">
        <v>197</v>
      </c>
    </row>
    <row r="64" spans="1:2" x14ac:dyDescent="0.2">
      <c r="A64" s="28" t="s">
        <v>10</v>
      </c>
      <c r="B64" t="s">
        <v>201</v>
      </c>
    </row>
    <row r="65" spans="1:2" x14ac:dyDescent="0.2">
      <c r="A65" s="28" t="s">
        <v>10</v>
      </c>
      <c r="B65" t="s">
        <v>204</v>
      </c>
    </row>
    <row r="66" spans="1:2" x14ac:dyDescent="0.2">
      <c r="A66" s="28" t="s">
        <v>10</v>
      </c>
      <c r="B66" t="s">
        <v>206</v>
      </c>
    </row>
    <row r="67" spans="1:2" x14ac:dyDescent="0.2">
      <c r="A67" s="28" t="s">
        <v>10</v>
      </c>
      <c r="B67" t="s">
        <v>219</v>
      </c>
    </row>
    <row r="68" spans="1:2" x14ac:dyDescent="0.2">
      <c r="A68" s="28" t="s">
        <v>11</v>
      </c>
      <c r="B68" t="s">
        <v>145</v>
      </c>
    </row>
    <row r="69" spans="1:2" x14ac:dyDescent="0.2">
      <c r="A69" s="28" t="s">
        <v>11</v>
      </c>
      <c r="B69" t="s">
        <v>148</v>
      </c>
    </row>
    <row r="70" spans="1:2" x14ac:dyDescent="0.2">
      <c r="A70" s="28" t="s">
        <v>11</v>
      </c>
      <c r="B70" t="s">
        <v>165</v>
      </c>
    </row>
    <row r="71" spans="1:2" x14ac:dyDescent="0.2">
      <c r="A71" s="25" t="s">
        <v>12</v>
      </c>
    </row>
    <row r="72" spans="1:2" x14ac:dyDescent="0.2">
      <c r="A72" s="25" t="s">
        <v>13</v>
      </c>
      <c r="B72" t="s">
        <v>86</v>
      </c>
    </row>
    <row r="73" spans="1:2" x14ac:dyDescent="0.2">
      <c r="A73" s="25" t="s">
        <v>63</v>
      </c>
      <c r="B73" t="s">
        <v>116</v>
      </c>
    </row>
    <row r="74" spans="1:2" x14ac:dyDescent="0.2">
      <c r="A74" s="25" t="s">
        <v>64</v>
      </c>
      <c r="B74" t="s">
        <v>215</v>
      </c>
    </row>
    <row r="75" spans="1:2" x14ac:dyDescent="0.2">
      <c r="A75" s="28" t="s">
        <v>14</v>
      </c>
      <c r="B75" t="s">
        <v>87</v>
      </c>
    </row>
    <row r="76" spans="1:2" x14ac:dyDescent="0.2">
      <c r="A76" s="28" t="s">
        <v>14</v>
      </c>
      <c r="B76" t="s">
        <v>150</v>
      </c>
    </row>
    <row r="77" spans="1:2" x14ac:dyDescent="0.2">
      <c r="A77" s="28" t="s">
        <v>14</v>
      </c>
      <c r="B77" t="s">
        <v>136</v>
      </c>
    </row>
    <row r="78" spans="1:2" x14ac:dyDescent="0.2">
      <c r="A78" s="28" t="s">
        <v>14</v>
      </c>
      <c r="B78" t="s">
        <v>163</v>
      </c>
    </row>
    <row r="79" spans="1:2" x14ac:dyDescent="0.2">
      <c r="A79" s="28" t="s">
        <v>14</v>
      </c>
      <c r="B79" t="s">
        <v>178</v>
      </c>
    </row>
    <row r="80" spans="1:2" x14ac:dyDescent="0.2">
      <c r="A80" s="25" t="s">
        <v>15</v>
      </c>
    </row>
    <row r="81" spans="1:2" x14ac:dyDescent="0.2">
      <c r="A81" s="25" t="s">
        <v>65</v>
      </c>
    </row>
    <row r="82" spans="1:2" x14ac:dyDescent="0.2">
      <c r="A82" s="25" t="s">
        <v>77</v>
      </c>
      <c r="B82" t="s">
        <v>88</v>
      </c>
    </row>
    <row r="83" spans="1:2" x14ac:dyDescent="0.2">
      <c r="A83" s="25" t="s">
        <v>48</v>
      </c>
      <c r="B83" t="s">
        <v>144</v>
      </c>
    </row>
    <row r="84" spans="1:2" x14ac:dyDescent="0.2">
      <c r="A84" s="28" t="s">
        <v>16</v>
      </c>
      <c r="B84" t="s">
        <v>89</v>
      </c>
    </row>
    <row r="85" spans="1:2" x14ac:dyDescent="0.2">
      <c r="A85" s="28" t="s">
        <v>16</v>
      </c>
      <c r="B85" t="s">
        <v>179</v>
      </c>
    </row>
    <row r="86" spans="1:2" x14ac:dyDescent="0.2">
      <c r="A86" s="28" t="s">
        <v>16</v>
      </c>
      <c r="B86" t="s">
        <v>192</v>
      </c>
    </row>
    <row r="87" spans="1:2" x14ac:dyDescent="0.2">
      <c r="A87" s="28" t="s">
        <v>17</v>
      </c>
      <c r="B87" t="s">
        <v>101</v>
      </c>
    </row>
    <row r="88" spans="1:2" x14ac:dyDescent="0.2">
      <c r="A88" s="28" t="s">
        <v>17</v>
      </c>
      <c r="B88" t="s">
        <v>210</v>
      </c>
    </row>
    <row r="89" spans="1:2" x14ac:dyDescent="0.2">
      <c r="A89" s="26" t="s">
        <v>18</v>
      </c>
      <c r="B89" t="s">
        <v>153</v>
      </c>
    </row>
    <row r="90" spans="1:2" x14ac:dyDescent="0.2">
      <c r="A90" s="26" t="s">
        <v>19</v>
      </c>
      <c r="B90" t="s">
        <v>90</v>
      </c>
    </row>
    <row r="91" spans="1:2" x14ac:dyDescent="0.2">
      <c r="A91" s="26" t="s">
        <v>19</v>
      </c>
      <c r="B91" t="s">
        <v>100</v>
      </c>
    </row>
    <row r="92" spans="1:2" x14ac:dyDescent="0.2">
      <c r="A92" s="26" t="s">
        <v>19</v>
      </c>
      <c r="B92" t="s">
        <v>114</v>
      </c>
    </row>
    <row r="93" spans="1:2" x14ac:dyDescent="0.2">
      <c r="A93" s="26" t="s">
        <v>19</v>
      </c>
      <c r="B93" t="s">
        <v>118</v>
      </c>
    </row>
    <row r="94" spans="1:2" x14ac:dyDescent="0.2">
      <c r="A94" s="26" t="s">
        <v>19</v>
      </c>
      <c r="B94" t="s">
        <v>127</v>
      </c>
    </row>
    <row r="95" spans="1:2" x14ac:dyDescent="0.2">
      <c r="A95" s="26" t="s">
        <v>19</v>
      </c>
      <c r="B95" t="s">
        <v>132</v>
      </c>
    </row>
    <row r="96" spans="1:2" x14ac:dyDescent="0.2">
      <c r="A96" s="26" t="s">
        <v>19</v>
      </c>
      <c r="B96" t="s">
        <v>133</v>
      </c>
    </row>
    <row r="97" spans="1:2" x14ac:dyDescent="0.2">
      <c r="A97" s="26" t="s">
        <v>19</v>
      </c>
      <c r="B97" t="s">
        <v>155</v>
      </c>
    </row>
    <row r="98" spans="1:2" x14ac:dyDescent="0.2">
      <c r="A98" s="26" t="s">
        <v>19</v>
      </c>
      <c r="B98" t="s">
        <v>156</v>
      </c>
    </row>
    <row r="99" spans="1:2" x14ac:dyDescent="0.2">
      <c r="A99" s="26" t="s">
        <v>19</v>
      </c>
      <c r="B99" t="s">
        <v>167</v>
      </c>
    </row>
    <row r="100" spans="1:2" x14ac:dyDescent="0.2">
      <c r="A100" s="26" t="s">
        <v>19</v>
      </c>
      <c r="B100" t="s">
        <v>170</v>
      </c>
    </row>
    <row r="101" spans="1:2" x14ac:dyDescent="0.2">
      <c r="A101" s="26" t="s">
        <v>19</v>
      </c>
      <c r="B101" t="s">
        <v>177</v>
      </c>
    </row>
    <row r="102" spans="1:2" x14ac:dyDescent="0.2">
      <c r="A102" s="26" t="s">
        <v>19</v>
      </c>
      <c r="B102" t="s">
        <v>182</v>
      </c>
    </row>
    <row r="103" spans="1:2" x14ac:dyDescent="0.2">
      <c r="A103" s="26" t="s">
        <v>19</v>
      </c>
      <c r="B103" t="s">
        <v>218</v>
      </c>
    </row>
    <row r="104" spans="1:2" x14ac:dyDescent="0.2">
      <c r="A104" t="s">
        <v>20</v>
      </c>
      <c r="B104" t="s">
        <v>126</v>
      </c>
    </row>
    <row r="105" spans="1:2" x14ac:dyDescent="0.2">
      <c r="A105" t="s">
        <v>21</v>
      </c>
      <c r="B105" t="s">
        <v>128</v>
      </c>
    </row>
    <row r="106" spans="1:2" x14ac:dyDescent="0.2">
      <c r="A106" t="s">
        <v>22</v>
      </c>
    </row>
    <row r="107" spans="1:2" x14ac:dyDescent="0.2">
      <c r="A107" t="s">
        <v>67</v>
      </c>
    </row>
    <row r="108" spans="1:2" x14ac:dyDescent="0.2">
      <c r="A108" t="s">
        <v>68</v>
      </c>
      <c r="B108" t="s">
        <v>138</v>
      </c>
    </row>
    <row r="109" spans="1:2" x14ac:dyDescent="0.2">
      <c r="A109" s="26" t="s">
        <v>69</v>
      </c>
      <c r="B109" t="s">
        <v>223</v>
      </c>
    </row>
    <row r="110" spans="1:2" x14ac:dyDescent="0.2">
      <c r="A110" s="26" t="s">
        <v>69</v>
      </c>
      <c r="B110" t="s">
        <v>96</v>
      </c>
    </row>
    <row r="111" spans="1:2" x14ac:dyDescent="0.2">
      <c r="A111" s="26" t="s">
        <v>69</v>
      </c>
      <c r="B111" t="s">
        <v>98</v>
      </c>
    </row>
    <row r="112" spans="1:2" x14ac:dyDescent="0.2">
      <c r="A112" s="26" t="s">
        <v>69</v>
      </c>
      <c r="B112" t="s">
        <v>102</v>
      </c>
    </row>
    <row r="113" spans="1:2" x14ac:dyDescent="0.2">
      <c r="A113" s="26" t="s">
        <v>69</v>
      </c>
      <c r="B113" t="s">
        <v>105</v>
      </c>
    </row>
    <row r="114" spans="1:2" x14ac:dyDescent="0.2">
      <c r="A114" s="26" t="s">
        <v>69</v>
      </c>
      <c r="B114" t="s">
        <v>110</v>
      </c>
    </row>
    <row r="115" spans="1:2" x14ac:dyDescent="0.2">
      <c r="A115" s="26" t="s">
        <v>69</v>
      </c>
      <c r="B115" t="s">
        <v>111</v>
      </c>
    </row>
    <row r="116" spans="1:2" x14ac:dyDescent="0.2">
      <c r="A116" s="26" t="s">
        <v>69</v>
      </c>
      <c r="B116" t="s">
        <v>120</v>
      </c>
    </row>
    <row r="117" spans="1:2" x14ac:dyDescent="0.2">
      <c r="A117" s="26" t="s">
        <v>69</v>
      </c>
      <c r="B117" t="s">
        <v>122</v>
      </c>
    </row>
    <row r="118" spans="1:2" x14ac:dyDescent="0.2">
      <c r="A118" s="26" t="s">
        <v>69</v>
      </c>
      <c r="B118" t="s">
        <v>141</v>
      </c>
    </row>
    <row r="119" spans="1:2" x14ac:dyDescent="0.2">
      <c r="A119" s="26" t="s">
        <v>69</v>
      </c>
      <c r="B119" t="s">
        <v>149</v>
      </c>
    </row>
    <row r="120" spans="1:2" x14ac:dyDescent="0.2">
      <c r="A120" s="26" t="s">
        <v>69</v>
      </c>
      <c r="B120" t="s">
        <v>160</v>
      </c>
    </row>
    <row r="121" spans="1:2" x14ac:dyDescent="0.2">
      <c r="A121" s="26" t="s">
        <v>69</v>
      </c>
      <c r="B121" t="s">
        <v>168</v>
      </c>
    </row>
    <row r="122" spans="1:2" x14ac:dyDescent="0.2">
      <c r="A122" s="26" t="s">
        <v>69</v>
      </c>
      <c r="B122" t="s">
        <v>169</v>
      </c>
    </row>
    <row r="123" spans="1:2" x14ac:dyDescent="0.2">
      <c r="A123" s="26" t="s">
        <v>69</v>
      </c>
      <c r="B123" t="s">
        <v>174</v>
      </c>
    </row>
    <row r="124" spans="1:2" x14ac:dyDescent="0.2">
      <c r="A124" s="26" t="s">
        <v>69</v>
      </c>
      <c r="B124" t="s">
        <v>190</v>
      </c>
    </row>
    <row r="125" spans="1:2" x14ac:dyDescent="0.2">
      <c r="A125" s="26" t="s">
        <v>69</v>
      </c>
      <c r="B125" t="s">
        <v>199</v>
      </c>
    </row>
    <row r="126" spans="1:2" x14ac:dyDescent="0.2">
      <c r="A126" s="26" t="s">
        <v>69</v>
      </c>
      <c r="B126" t="s">
        <v>202</v>
      </c>
    </row>
    <row r="127" spans="1:2" x14ac:dyDescent="0.2">
      <c r="A127" t="s">
        <v>28</v>
      </c>
    </row>
    <row r="128" spans="1:2" x14ac:dyDescent="0.2">
      <c r="A128" t="s">
        <v>29</v>
      </c>
      <c r="B128" t="s">
        <v>91</v>
      </c>
    </row>
    <row r="129" spans="1:3" x14ac:dyDescent="0.2">
      <c r="A129" s="26" t="s">
        <v>30</v>
      </c>
      <c r="B129" t="s">
        <v>94</v>
      </c>
    </row>
    <row r="130" spans="1:3" x14ac:dyDescent="0.2">
      <c r="A130" s="26" t="s">
        <v>30</v>
      </c>
      <c r="B130" t="s">
        <v>117</v>
      </c>
    </row>
    <row r="131" spans="1:3" x14ac:dyDescent="0.2">
      <c r="A131" s="26" t="s">
        <v>30</v>
      </c>
      <c r="B131" t="s">
        <v>195</v>
      </c>
    </row>
    <row r="132" spans="1:3" x14ac:dyDescent="0.2">
      <c r="A132" s="26" t="s">
        <v>244</v>
      </c>
      <c r="B132" s="25" t="s">
        <v>180</v>
      </c>
    </row>
    <row r="133" spans="1:3" x14ac:dyDescent="0.2">
      <c r="A133" s="26" t="s">
        <v>244</v>
      </c>
      <c r="B133" s="25" t="s">
        <v>157</v>
      </c>
    </row>
    <row r="134" spans="1:3" x14ac:dyDescent="0.2">
      <c r="A134" s="26" t="s">
        <v>245</v>
      </c>
      <c r="B134" s="25" t="s">
        <v>224</v>
      </c>
      <c r="C134" s="27" t="s">
        <v>246</v>
      </c>
    </row>
    <row r="135" spans="1:3" x14ac:dyDescent="0.2">
      <c r="A135" s="26" t="s">
        <v>245</v>
      </c>
      <c r="B135" s="25" t="s">
        <v>121</v>
      </c>
      <c r="C135" s="27"/>
    </row>
    <row r="136" spans="1:3" x14ac:dyDescent="0.2">
      <c r="A136" s="26" t="s">
        <v>245</v>
      </c>
      <c r="B136" s="25" t="s">
        <v>125</v>
      </c>
      <c r="C136" s="27"/>
    </row>
    <row r="137" spans="1:3" x14ac:dyDescent="0.2">
      <c r="A137" s="26" t="s">
        <v>245</v>
      </c>
      <c r="B137" s="25" t="s">
        <v>137</v>
      </c>
      <c r="C137" s="27"/>
    </row>
    <row r="138" spans="1:3" x14ac:dyDescent="0.2">
      <c r="A138" s="26" t="s">
        <v>245</v>
      </c>
      <c r="B138" s="25" t="s">
        <v>140</v>
      </c>
      <c r="C138" s="27"/>
    </row>
    <row r="139" spans="1:3" x14ac:dyDescent="0.2">
      <c r="A139" s="26" t="s">
        <v>245</v>
      </c>
      <c r="B139" s="25" t="s">
        <v>143</v>
      </c>
      <c r="C139" s="27"/>
    </row>
    <row r="140" spans="1:3" x14ac:dyDescent="0.2">
      <c r="A140" s="26" t="s">
        <v>245</v>
      </c>
      <c r="B140" s="25" t="s">
        <v>152</v>
      </c>
      <c r="C140" s="27"/>
    </row>
    <row r="141" spans="1:3" x14ac:dyDescent="0.2">
      <c r="A141" s="26" t="s">
        <v>245</v>
      </c>
      <c r="B141" s="25" t="s">
        <v>158</v>
      </c>
      <c r="C141" s="27"/>
    </row>
    <row r="142" spans="1:3" x14ac:dyDescent="0.2">
      <c r="A142" s="26" t="s">
        <v>245</v>
      </c>
      <c r="B142" s="25" t="s">
        <v>175</v>
      </c>
      <c r="C142" s="27"/>
    </row>
    <row r="143" spans="1:3" x14ac:dyDescent="0.2">
      <c r="A143" s="26" t="s">
        <v>245</v>
      </c>
      <c r="B143" s="25" t="s">
        <v>184</v>
      </c>
      <c r="C143" s="27"/>
    </row>
    <row r="144" spans="1:3" x14ac:dyDescent="0.2">
      <c r="A144" s="26" t="s">
        <v>245</v>
      </c>
      <c r="B144" s="25" t="s">
        <v>185</v>
      </c>
      <c r="C144" s="27"/>
    </row>
    <row r="145" spans="1:3" x14ac:dyDescent="0.2">
      <c r="A145" s="26" t="s">
        <v>245</v>
      </c>
      <c r="B145" s="25" t="s">
        <v>189</v>
      </c>
      <c r="C145" s="27"/>
    </row>
    <row r="146" spans="1:3" x14ac:dyDescent="0.2">
      <c r="A146" s="26" t="s">
        <v>245</v>
      </c>
      <c r="B146" s="25" t="s">
        <v>191</v>
      </c>
      <c r="C146" s="27"/>
    </row>
    <row r="147" spans="1:3" x14ac:dyDescent="0.2">
      <c r="A147" s="26" t="s">
        <v>245</v>
      </c>
      <c r="B147" s="25" t="s">
        <v>198</v>
      </c>
      <c r="C147" s="27"/>
    </row>
    <row r="148" spans="1:3" x14ac:dyDescent="0.2">
      <c r="A148" s="26" t="s">
        <v>245</v>
      </c>
      <c r="B148" s="25" t="s">
        <v>203</v>
      </c>
      <c r="C148" s="27"/>
    </row>
    <row r="149" spans="1:3" x14ac:dyDescent="0.2">
      <c r="A149" s="26" t="s">
        <v>245</v>
      </c>
      <c r="B149" s="25" t="s">
        <v>205</v>
      </c>
      <c r="C149" s="27"/>
    </row>
    <row r="150" spans="1:3" x14ac:dyDescent="0.2">
      <c r="A150" s="26" t="s">
        <v>245</v>
      </c>
      <c r="B150" s="25" t="s">
        <v>216</v>
      </c>
      <c r="C150" s="27"/>
    </row>
    <row r="151" spans="1:3" x14ac:dyDescent="0.2">
      <c r="A151" s="26" t="s">
        <v>245</v>
      </c>
      <c r="B151" s="25" t="s">
        <v>225</v>
      </c>
    </row>
    <row r="152" spans="1:3" x14ac:dyDescent="0.2">
      <c r="A152" s="26" t="s">
        <v>245</v>
      </c>
      <c r="B152" s="25" t="s">
        <v>226</v>
      </c>
    </row>
    <row r="153" spans="1:3" x14ac:dyDescent="0.2">
      <c r="A153" s="26" t="s">
        <v>245</v>
      </c>
      <c r="B153" s="25" t="s">
        <v>217</v>
      </c>
    </row>
    <row r="154" spans="1:3" x14ac:dyDescent="0.2">
      <c r="A154" s="26" t="s">
        <v>245</v>
      </c>
      <c r="B154" s="25" t="s">
        <v>211</v>
      </c>
    </row>
  </sheetData>
  <mergeCells count="1">
    <mergeCell ref="C134:C150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Results - Global Totals</vt:lpstr>
      <vt:lpstr>totals</vt:lpstr>
      <vt:lpstr>regrouped</vt:lpstr>
      <vt:lpstr>mushrooms</vt:lpstr>
      <vt:lpstr>augmented w mushrooms</vt:lpstr>
      <vt:lpstr>augmented w condiments</vt:lpstr>
      <vt:lpstr>lca names to ingredient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Poore</dc:creator>
  <cp:lastModifiedBy>Vahidullah Tac</cp:lastModifiedBy>
  <cp:lastPrinted>2017-12-05T17:41:51Z</cp:lastPrinted>
  <dcterms:created xsi:type="dcterms:W3CDTF">2017-02-01T18:13:11Z</dcterms:created>
  <dcterms:modified xsi:type="dcterms:W3CDTF">2025-10-31T20:11:09Z</dcterms:modified>
</cp:coreProperties>
</file>